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EB811DF-6DE2-4609-B643-7B17EBB25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TPALAA" sheetId="4" r:id="rId1"/>
    <sheet name="Graphs " sheetId="11" r:id="rId2"/>
  </sheets>
  <definedNames>
    <definedName name="_xlnm.Print_Area" localSheetId="0">UTPALAA!$A$1:$I$146</definedName>
    <definedName name="UTSANG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1" l="1"/>
  <c r="C19" i="11"/>
  <c r="D194" i="4"/>
  <c r="D193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F115" i="4"/>
  <c r="G115" i="4" s="1"/>
  <c r="G114" i="4"/>
  <c r="F114" i="4"/>
  <c r="G113" i="4"/>
  <c r="F113" i="4"/>
  <c r="G112" i="4"/>
  <c r="F112" i="4"/>
  <c r="G111" i="4"/>
  <c r="F111" i="4"/>
  <c r="F110" i="4"/>
  <c r="G110" i="4" s="1"/>
  <c r="G109" i="4"/>
  <c r="F109" i="4"/>
  <c r="G108" i="4"/>
  <c r="F108" i="4"/>
  <c r="G107" i="4"/>
  <c r="F107" i="4"/>
  <c r="F106" i="4"/>
  <c r="G106" i="4" s="1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F93" i="4"/>
  <c r="G93" i="4" s="1"/>
  <c r="G92" i="4"/>
  <c r="F92" i="4"/>
  <c r="G91" i="4"/>
  <c r="F91" i="4"/>
  <c r="G90" i="4"/>
  <c r="F90" i="4"/>
  <c r="G89" i="4"/>
  <c r="F89" i="4"/>
  <c r="G88" i="4"/>
  <c r="F88" i="4"/>
  <c r="F87" i="4"/>
  <c r="G87" i="4" s="1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F78" i="4"/>
  <c r="G78" i="4" s="1"/>
  <c r="G77" i="4"/>
  <c r="F77" i="4"/>
  <c r="G76" i="4"/>
  <c r="F76" i="4"/>
  <c r="G75" i="4"/>
  <c r="F75" i="4"/>
  <c r="G74" i="4"/>
  <c r="F74" i="4"/>
  <c r="F73" i="4"/>
  <c r="G73" i="4" s="1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F63" i="4"/>
  <c r="G63" i="4" s="1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F48" i="4"/>
  <c r="G48" i="4" s="1"/>
  <c r="G47" i="4"/>
  <c r="F47" i="4"/>
  <c r="F46" i="4"/>
  <c r="G46" i="4" s="1"/>
  <c r="G45" i="4"/>
  <c r="F45" i="4"/>
  <c r="F44" i="4"/>
  <c r="G44" i="4" s="1"/>
  <c r="G43" i="4"/>
  <c r="F43" i="4"/>
  <c r="G42" i="4"/>
  <c r="F42" i="4"/>
  <c r="F41" i="4"/>
  <c r="G41" i="4" s="1"/>
  <c r="F40" i="4"/>
  <c r="G40" i="4" s="1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F11" i="4"/>
  <c r="G11" i="4" s="1"/>
  <c r="G10" i="4"/>
  <c r="F10" i="4"/>
  <c r="G9" i="4"/>
  <c r="F9" i="4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G8" i="4"/>
  <c r="F8" i="4"/>
  <c r="H5" i="4"/>
  <c r="H152" i="4" l="1"/>
  <c r="D188" i="4" s="1"/>
  <c r="B17" i="11" s="1"/>
  <c r="C17" i="11" s="1"/>
  <c r="H161" i="4"/>
  <c r="I161" i="4" s="1"/>
  <c r="H146" i="4"/>
  <c r="D187" i="4" s="1"/>
  <c r="B16" i="11" s="1"/>
  <c r="H141" i="4"/>
  <c r="D186" i="4" s="1"/>
  <c r="B15" i="11" s="1"/>
  <c r="C15" i="11" s="1"/>
  <c r="H126" i="4"/>
  <c r="I126" i="4" s="1"/>
  <c r="H117" i="4"/>
  <c r="D184" i="4" s="1"/>
  <c r="B13" i="11" s="1"/>
  <c r="C13" i="11" s="1"/>
  <c r="H109" i="4"/>
  <c r="I109" i="4" s="1"/>
  <c r="H98" i="4"/>
  <c r="H84" i="4"/>
  <c r="D181" i="4" s="1"/>
  <c r="B10" i="11" s="1"/>
  <c r="C10" i="11" s="1"/>
  <c r="H49" i="4"/>
  <c r="I49" i="4" s="1"/>
  <c r="H42" i="4"/>
  <c r="D195" i="4"/>
  <c r="B144" i="4"/>
  <c r="B145" i="4" s="1"/>
  <c r="B146" i="4" s="1"/>
  <c r="B142" i="4"/>
  <c r="B143" i="4" s="1"/>
  <c r="I146" i="4"/>
  <c r="D189" i="4"/>
  <c r="B18" i="11" s="1"/>
  <c r="C18" i="11" s="1"/>
  <c r="H26" i="4"/>
  <c r="H8" i="4"/>
  <c r="C171" i="4"/>
  <c r="H66" i="4"/>
  <c r="I117" i="4"/>
  <c r="D183" i="4" l="1"/>
  <c r="B12" i="11" s="1"/>
  <c r="C12" i="11" s="1"/>
  <c r="I152" i="4"/>
  <c r="D185" i="4"/>
  <c r="B14" i="11" s="1"/>
  <c r="C14" i="11" s="1"/>
  <c r="I84" i="4"/>
  <c r="D179" i="4"/>
  <c r="B8" i="11" s="1"/>
  <c r="C8" i="11" s="1"/>
  <c r="I141" i="4"/>
  <c r="D182" i="4"/>
  <c r="B11" i="11" s="1"/>
  <c r="C11" i="11" s="1"/>
  <c r="I98" i="4"/>
  <c r="D178" i="4"/>
  <c r="B7" i="11" s="1"/>
  <c r="C7" i="11" s="1"/>
  <c r="I42" i="4"/>
  <c r="C5" i="4"/>
  <c r="B20" i="11"/>
  <c r="I8" i="4"/>
  <c r="D176" i="4"/>
  <c r="B5" i="11" s="1"/>
  <c r="C5" i="11" s="1"/>
  <c r="D180" i="4"/>
  <c r="B9" i="11" s="1"/>
  <c r="C9" i="11" s="1"/>
  <c r="I66" i="4"/>
  <c r="D177" i="4"/>
  <c r="B6" i="11" s="1"/>
  <c r="C6" i="11" s="1"/>
  <c r="I26" i="4"/>
  <c r="B147" i="4"/>
  <c r="B148" i="4" s="1"/>
  <c r="B149" i="4" s="1"/>
  <c r="B150" i="4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C20" i="11" l="1"/>
  <c r="B19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8" authorId="0" shapeId="0" xr:uid="{21CF8281-4ACB-428E-869B-E797ED6E7B10}">
      <text>
        <r>
          <rPr>
            <sz val="9"/>
            <color indexed="81"/>
            <rFont val="Arial Narrow"/>
            <family val="2"/>
          </rPr>
          <t>Double click inside the cell to activate drop list and select appropriate input. Please do it for the following cells too.</t>
        </r>
      </text>
    </comment>
  </commentList>
</comments>
</file>

<file path=xl/sharedStrings.xml><?xml version="1.0" encoding="utf-8"?>
<sst xmlns="http://schemas.openxmlformats.org/spreadsheetml/2006/main" count="470" uniqueCount="254">
  <si>
    <r>
      <rPr>
        <b/>
        <sz val="18"/>
        <color indexed="8"/>
        <rFont val="Arial Narrow"/>
        <family val="2"/>
      </rPr>
      <t xml:space="preserve">ENVIRONMENT AND SAFETY EVALUATION </t>
    </r>
  </si>
  <si>
    <t>Project:</t>
  </si>
  <si>
    <t xml:space="preserve">Overall Score:   </t>
  </si>
  <si>
    <t xml:space="preserve">E.A.S.E Category:  </t>
  </si>
  <si>
    <t>Topic</t>
  </si>
  <si>
    <t>Sl. No.</t>
  </si>
  <si>
    <t>Evaluation Elements</t>
  </si>
  <si>
    <t>Status</t>
  </si>
  <si>
    <t>General Safety</t>
  </si>
  <si>
    <t>Housekeeping</t>
  </si>
  <si>
    <t>Work at Height</t>
  </si>
  <si>
    <t>Electrical</t>
  </si>
  <si>
    <t>Fire Prevention/ Protection</t>
  </si>
  <si>
    <t>First Aid &amp; Medical Facilities</t>
  </si>
  <si>
    <t>Environment Aspects</t>
  </si>
  <si>
    <t>Total Count - Partial</t>
  </si>
  <si>
    <t>Total count - No</t>
  </si>
  <si>
    <t>Total Deviations</t>
  </si>
  <si>
    <t>Piling Work</t>
  </si>
  <si>
    <t>Tending to Yes</t>
  </si>
  <si>
    <t>Tending to No</t>
  </si>
  <si>
    <t>No</t>
  </si>
  <si>
    <t>Yes</t>
  </si>
  <si>
    <t>90% to 100%</t>
  </si>
  <si>
    <t>0% to 10%</t>
  </si>
  <si>
    <t>10% to 45%</t>
  </si>
  <si>
    <t>45% to 90%</t>
  </si>
  <si>
    <t>Are Safety meetings conducted across the table at least once monthly and minutes communicated?</t>
  </si>
  <si>
    <t>Are approach roads safe for vehicle and pedestrian movement?</t>
  </si>
  <si>
    <t>Are all cable joints prepared using connectors or joining kits?</t>
  </si>
  <si>
    <t>Are all earth pits checked on a half yearly basis and recorded?</t>
  </si>
  <si>
    <t>Are all connections drawn through either 3 core or 4 core double insulated cables?</t>
  </si>
  <si>
    <t>1 to 3</t>
  </si>
  <si>
    <t>4 to 8</t>
  </si>
  <si>
    <t>Good points</t>
  </si>
  <si>
    <t>Violations</t>
  </si>
  <si>
    <t>1 to 10</t>
  </si>
  <si>
    <t xml:space="preserve">10 to 20 </t>
  </si>
  <si>
    <t xml:space="preserve">21 to 30 </t>
  </si>
  <si>
    <t xml:space="preserve">8 to 10 </t>
  </si>
  <si>
    <t>Repitition</t>
  </si>
  <si>
    <t>&lt;20%</t>
  </si>
  <si>
    <t>&gt;20%</t>
  </si>
  <si>
    <t>&gt;40%</t>
  </si>
  <si>
    <t>Resolved</t>
  </si>
  <si>
    <t>Anticipated observations</t>
  </si>
  <si>
    <t>Jobstoppage notice</t>
  </si>
  <si>
    <t>1 to 2</t>
  </si>
  <si>
    <t>2 to 5</t>
  </si>
  <si>
    <t>&gt;5</t>
  </si>
  <si>
    <t>Are all access/ egress routes, pathways, staircases etc. free from risk of slip, trip &amp;  fall hazards</t>
  </si>
  <si>
    <t>Hand tools (manual and power driven)</t>
  </si>
  <si>
    <t>Welfare Facilities and labour accomodation</t>
  </si>
  <si>
    <t>Are Flammable materials stored separately?</t>
  </si>
  <si>
    <t>Are use of shoulder pads for materials shifting like reinforcement implemented?</t>
  </si>
  <si>
    <t>Are defective materials segregated from sound materials?</t>
  </si>
  <si>
    <t>Are debris disposal chutes available to dispose debris from elevated floors?</t>
  </si>
  <si>
    <t>Is secondary earthing provided for all power driven machines and electrical installations?</t>
  </si>
  <si>
    <t>Welding,  cutting and grinding</t>
  </si>
  <si>
    <t>Is the operator/ driver licensed for the device that he is operating?</t>
  </si>
  <si>
    <t>Are the grinding wheels stored in damp free and damage proof conditions?</t>
  </si>
  <si>
    <t>Vehicles, Earth movers &amp; Lifting Equipment</t>
  </si>
  <si>
    <t>Is Good hygiene maintained in and around the first-aid room?</t>
  </si>
  <si>
    <t>Is a first aid register maintained in updated condition?</t>
  </si>
  <si>
    <t>Is the building wrapped to contain dust from neighbouring residential area?</t>
  </si>
  <si>
    <t>Is there proper guard of all movable parts of machine?</t>
  </si>
  <si>
    <t>Is the piling equipment tested and certified by a third party competent person?</t>
  </si>
  <si>
    <t>Personal Protective Equipment and work apparels</t>
  </si>
  <si>
    <t>Excavation and confined space job</t>
  </si>
  <si>
    <t>Are the machineries free from tampered or makeshift appendages?</t>
  </si>
  <si>
    <t>Considering the bottom score</t>
  </si>
  <si>
    <t>Score</t>
  </si>
  <si>
    <t>Assessment Value</t>
  </si>
  <si>
    <t xml:space="preserve"> Score Applicable</t>
  </si>
  <si>
    <t>Marks Obtained</t>
  </si>
  <si>
    <t>Topic Percentage</t>
  </si>
  <si>
    <t>Gradation</t>
  </si>
  <si>
    <t>NA</t>
  </si>
  <si>
    <t>Period</t>
  </si>
  <si>
    <t>UTALIKA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</si>
  <si>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</si>
  <si>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</si>
  <si>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</si>
  <si>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</si>
  <si>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</si>
  <si>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</si>
  <si>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</si>
  <si>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</si>
  <si>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</si>
  <si>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</si>
  <si>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Over all Score =</t>
  </si>
  <si>
    <t>E.A.S.E CATEGORY</t>
  </si>
  <si>
    <t>BELOW AVERAGE</t>
  </si>
  <si>
    <t>Based on organizational maturity and gravity of the activity in the particular project</t>
  </si>
  <si>
    <t>HRO</t>
  </si>
  <si>
    <t>Is excessive accumulation of load prohobited within 1 meter of the edge of the pit?</t>
  </si>
  <si>
    <t>Topic average-All sites</t>
  </si>
  <si>
    <t>UTSODHARA</t>
  </si>
  <si>
    <t>URVISHA</t>
  </si>
  <si>
    <t>Q-2 (24-25)</t>
  </si>
  <si>
    <t>Q-3 (24-25)</t>
  </si>
  <si>
    <t>Q-4 (24-25)</t>
  </si>
  <si>
    <t>UDYAAT</t>
  </si>
  <si>
    <t>Q-1 (25-26)</t>
  </si>
  <si>
    <t>UTPALAA</t>
  </si>
  <si>
    <t>Are Safety tool-box talks conducted daily and records maintained?</t>
  </si>
  <si>
    <t>Are Safety induction provided to all new joinings and records maintained?</t>
  </si>
  <si>
    <t>Is pre-employment medical checkup conducted for all newly joined workers?</t>
  </si>
  <si>
    <t>Are there display of Emergency contact numbers at prominent places in work area easily visible to the eye?</t>
  </si>
  <si>
    <t>Is the site free of  High Risk (fatality potential) observations?</t>
  </si>
  <si>
    <t>Do the execution team members conduct safety observations (5 observations/ per day/ per person)?</t>
  </si>
  <si>
    <t>Are Near Misses reported?</t>
  </si>
  <si>
    <t>Are there display of Safety posters and messages in dimensions 3 feet by 4 feet? Minimum 20 numbers</t>
  </si>
  <si>
    <t>Are contractors served written warnings on repetitive / pending observations?</t>
  </si>
  <si>
    <t>Is percentage of rectification more than 90%?</t>
  </si>
  <si>
    <t>Is there minimum 1 SHE campaigns orgnised such as safety stand-downs, demonstrations, etc. per month?</t>
  </si>
  <si>
    <t>Is there minimum 1 mock drill conducted per month and the documents are available?</t>
  </si>
  <si>
    <t>Are there display of Safety signage and warning/ caution signs in all the relevant areas?</t>
  </si>
  <si>
    <t>Do all the unsafe jobs receive a Job Discontinuation/stoppage/penalty notice from site management?</t>
  </si>
  <si>
    <t>Is the average illumination level of the entire project site more than equal to 150 Lux?</t>
  </si>
  <si>
    <t>Is the site free from signs of oil spillage and other agents that can pollute the top soil?</t>
  </si>
  <si>
    <t>Is the site free from rods protruding from ground or sharp objects along height of a person's face?</t>
  </si>
  <si>
    <t>Is site free from water stagnation?</t>
  </si>
  <si>
    <t>Are all job locations in the project easily approachable by all?</t>
  </si>
  <si>
    <t>Are chemicals and oils stored as per recommendations in the MSDS?</t>
  </si>
  <si>
    <t>Is the site neat and clean?</t>
  </si>
  <si>
    <t>Is scrap/debris kept separately and safely in designated/ demarcated areas</t>
  </si>
  <si>
    <t>Are walking paths for pedestrians marked and separated from vehical routes?</t>
  </si>
  <si>
    <t>Are deshuttered materials stacked neatly in an uncluttered manner?</t>
  </si>
  <si>
    <t>Are construction materials, earth, etc. stacked and stored that they do not roll or collapse?</t>
  </si>
  <si>
    <t>Is there 100% implementation of safety helmet with chin-straps?</t>
  </si>
  <si>
    <t>Is there 100% implementation of safety shoes?</t>
  </si>
  <si>
    <t>Is there 100% implementation of fluorescent jackets worn by all in the project?</t>
  </si>
  <si>
    <t>Is there 100% use of suitable hand gloves for material handling?</t>
  </si>
  <si>
    <t>Is there 100% use of goggles ensured for chipping/ hacking jobs?</t>
  </si>
  <si>
    <t>Is there 100% use of ear protection in high noise zones?</t>
  </si>
  <si>
    <t>Is there a smoking booth available and being used? No one found smoking in the work place.</t>
  </si>
  <si>
    <t>Are all scaffolds/ staging above 6m in height, jointly checked and agreed upon by the site technical team?</t>
  </si>
  <si>
    <t>Are all scaffolds and staging those are more than 6m height inspected and records available?</t>
  </si>
  <si>
    <t>Are all work platforms provided with Toprails@42 inches and Midrails@21 inches?</t>
  </si>
  <si>
    <t>Are all work platform/ gratings provided with complete gratings and secured/ tied to the scaffolding/ staging?</t>
  </si>
  <si>
    <t>Are all floor openings, lift shafts, cut-outs, voids, slab edges, etc. protected adequately to prevent falls?</t>
  </si>
  <si>
    <t>Are double layered hard barricades provided to all the shafts, balconies, slab edges, floor-to ceiling windows, etc.?</t>
  </si>
  <si>
    <t>Are all floor openings/ floor edges / beam tops, chajjas, aisles, etc. kept free from  loose materials?</t>
  </si>
  <si>
    <t>Are safety nets, overhead protection, temporary covers for floor openings, etc free from debris accumulation?</t>
  </si>
  <si>
    <t>Are all areas where elevated works are in progress provided with strong overhead protection?</t>
  </si>
  <si>
    <t>Are safety nets provided in every alternative floors in each and every shaft?</t>
  </si>
  <si>
    <t>Are all work on roof carried out as per safe guidelines?</t>
  </si>
  <si>
    <t xml:space="preserve">Are all mechanically operated man lifting devices (cradles and baskets) used as per guidelines? </t>
  </si>
  <si>
    <t>Is use of fall arrestor and vertical lifelines implemented in all areas where frequent vertical movements are necessary?</t>
  </si>
  <si>
    <t>Are approach ladders / paths to all work-platforms safe and defined?</t>
  </si>
  <si>
    <t>Are all mobile scaffolds used as per safe guidelines?</t>
  </si>
  <si>
    <t>Are all mobile scaffolds built as per safe guidelines?</t>
  </si>
  <si>
    <t xml:space="preserve">Work at Height 
</t>
  </si>
  <si>
    <t xml:space="preserve">Are all electrical installations and equipment as per IP 44 (minimum) specification? </t>
  </si>
  <si>
    <t>Are all electricians present in the site holding valid licenses?</t>
  </si>
  <si>
    <t>Is an electrical rescue kit available in the site?</t>
  </si>
  <si>
    <t>Are all the electrical installations easily approachable?</t>
  </si>
  <si>
    <t>Are all connections drawn with industrial type plug tops?</t>
  </si>
  <si>
    <r>
      <t>Are all electrical connections routed through RCCB</t>
    </r>
    <r>
      <rPr>
        <b/>
        <sz val="10"/>
        <rFont val="Arial Narrow"/>
        <family val="2"/>
      </rPr>
      <t xml:space="preserve"> (30mA rating)</t>
    </r>
    <r>
      <rPr>
        <sz val="10"/>
        <rFont val="Arial Narrow"/>
        <family val="2"/>
      </rPr>
      <t>?</t>
    </r>
  </si>
  <si>
    <t>Are all electrical installations provided with PCC floor and di-electric mat with appropriate voltage rating?</t>
  </si>
  <si>
    <t>Are all RCCB inspected once a month and records maintained?</t>
  </si>
  <si>
    <t>Are all electrical installations and equipment earthed as per IS 3043?</t>
  </si>
  <si>
    <t>Is site free from defective electrical installations and accessories?</t>
  </si>
  <si>
    <t>Is site free from electrical malpractices?</t>
  </si>
  <si>
    <t xml:space="preserve">Is site free from cables lying along the ground? </t>
  </si>
  <si>
    <t>Are all underground cables maintained 3 feet below the ground following IEC guidelines?</t>
  </si>
  <si>
    <t xml:space="preserve">Are all above ground cables routed 7 feet above the ground from insuated hooks and clips? </t>
  </si>
  <si>
    <t>Are all welding machines equipped with local isolation switch?</t>
  </si>
  <si>
    <t>Are all gas welding/ cutting torches and hoses provided with flash back arrestors?</t>
  </si>
  <si>
    <t>Are all cutting hoses and welding cables free from damage and defects?</t>
  </si>
  <si>
    <t>Are all Oxygen hoses blue and DA/LPG hoses red?</t>
  </si>
  <si>
    <t>Are all welding cables connected using lugs, glands and having rated return cables?</t>
  </si>
  <si>
    <t>Are gas cylinders stored as per laid down guidelines?</t>
  </si>
  <si>
    <t>Do all the gas cylinders have valve guards?</t>
  </si>
  <si>
    <t>Are all gas cylinders provided with double gauge pressure regulators in good condition?</t>
  </si>
  <si>
    <t>Are cutting wheels stored away from direct sunlight, moisture and other contaminants?</t>
  </si>
  <si>
    <t>Are all grinding or cutting machines provided with guards?</t>
  </si>
  <si>
    <t>Are all welders /cutters using the right glasses/ goggles,leather apron and hand gloves?</t>
  </si>
  <si>
    <t>Are all gas cylinders transported using trolleys at all times?</t>
  </si>
  <si>
    <t>Are cutting wheels of proper RPM and specification used?</t>
  </si>
  <si>
    <t>Are all lifting equipment tested by TPLGA and the copy of certificate pasted on the equipment?</t>
  </si>
  <si>
    <t>Are all lifting gears tested by TPLGA and the gear is colour coded?</t>
  </si>
  <si>
    <t>Are all the lifting appliances inspected periodically and findings documented?</t>
  </si>
  <si>
    <t>Are all the lifting gears inspected periodically and findings documented?</t>
  </si>
  <si>
    <t>Are all vehicles provided with automatic reverse horn?</t>
  </si>
  <si>
    <t>Are all swinging equipments provided with swing alarm?</t>
  </si>
  <si>
    <t>Are all earth moving equipments inspected periodically and findings documented?</t>
  </si>
  <si>
    <t>Is Safe Work Load (SWL) marked on all lifting appliances?</t>
  </si>
  <si>
    <t>Are all vehicles inspected periodically and findings documented?</t>
  </si>
  <si>
    <t>Are  all the safety gadgets (limits, cut offs, indicators, preventers, accessories, etc.) available in their places?</t>
  </si>
  <si>
    <t>Are adequate number and type of fire extinguishers available at the project site?</t>
  </si>
  <si>
    <t>Is the usage procedure of fire extinguisher displayed in all fire prone places?</t>
  </si>
  <si>
    <t xml:space="preserve">Are Smoking Booths established and is being used? </t>
  </si>
  <si>
    <t>Are fire extinguishers periodically checked and findings documented?</t>
  </si>
  <si>
    <t>Are suitable fire extinguisher in working condition located close to all the electrical installations?</t>
  </si>
  <si>
    <t>Are fire entinguishers hung / displayed against approved yellow and black hatches?</t>
  </si>
  <si>
    <t>Are Fire fighting trainings &amp; mock drills once in 2 months conducted periodically and documented?</t>
  </si>
  <si>
    <t>Are all activities (thhat may lead to fire) planned and conducted keeping in mind fire prevention?</t>
  </si>
  <si>
    <t>Are access to fire fighting aids free from obstacles?</t>
  </si>
  <si>
    <t>Is a man rescue basket / stretcher for first aid available and maintained in good condition?</t>
  </si>
  <si>
    <t>Are sufficient number of first-aid boxes available at project site?</t>
  </si>
  <si>
    <t>Is there availability of emergency vehicles at site?</t>
  </si>
  <si>
    <t>Is there a First aid room in the project site with facilities as per legal requirements?</t>
  </si>
  <si>
    <t>Is trend analysis of First Aid injuries done?</t>
  </si>
  <si>
    <t xml:space="preserve">Are adequate (1 for every 50) number of Qualified/ trained first-aider available at the project site? </t>
  </si>
  <si>
    <t>Are all the roof and walls of the accomodation free from holes and damages?</t>
  </si>
  <si>
    <t>Are provision for hygenic drinking water available in the work place?</t>
  </si>
  <si>
    <t>Are adequate number of  urinals provided at every 2 floors in the work zone?</t>
  </si>
  <si>
    <t>Are provision for hygenic drinking water available in the labour accomodation?</t>
  </si>
  <si>
    <t>Is a separate kitchen/ cooking area provided at labour accomodation?</t>
  </si>
  <si>
    <t>Is atleast one 5 Kg DCP type fire extinguisher located outside every room of the labour accomodation?</t>
  </si>
  <si>
    <t>Are the toilets / urinals / bathing zones kept clean and tidy in the labour accomodation?</t>
  </si>
  <si>
    <t>Is the electrical distribution, electrical accessories as per standard and free from damages?</t>
  </si>
  <si>
    <t>Is potability of drinking water for the labours tested and documents are maintained?</t>
  </si>
  <si>
    <t xml:space="preserve">Is there a separate earthpit for the labour accomodation and is it checked and documented? </t>
  </si>
  <si>
    <t xml:space="preserve">Are accommodation areas/ rest rooms kept tidy &amp; hygienic with adequate cleanliness? </t>
  </si>
  <si>
    <t>Is pest control carried out regularly in the labour accomodation?</t>
  </si>
  <si>
    <t>Is the accomodation free from slippery floors and wet surfaces?</t>
  </si>
  <si>
    <t>Is there a supervisor to look after the labour accomodation?</t>
  </si>
  <si>
    <t>Is noise level monitoring done and records maintained?</t>
  </si>
  <si>
    <t>Do all vehicles &amp; equipment with internal combustion (I.C.) engines possess PUC certificates?</t>
  </si>
  <si>
    <t>Is water sprinkling done on the ground to control dust?</t>
  </si>
  <si>
    <t>Are adequate means adopted to prevent top soil pollution and ground water pollution? E.g. oil spillage, slurry spillage, concrete debris scattering, etc.</t>
  </si>
  <si>
    <t>Is the accomodation free from workers with sleeping arrangements on the floor?</t>
  </si>
  <si>
    <t>Is the approach to the rig free from obstacles?</t>
  </si>
  <si>
    <t>Is the pile rig inspected periodically and the documents are available?</t>
  </si>
  <si>
    <t>Is the tank (bentonite / slurry / water) barricaded and safe from all respect?</t>
  </si>
  <si>
    <t>Is work beside water bodies being conducted without any risk whatsoever?</t>
  </si>
  <si>
    <t>Is there any tie up with local hospitals/ ambulance services and the same is documented?</t>
  </si>
  <si>
    <t xml:space="preserve">Are there access to all excavated area via ramps or steps or ladders.? Are there hand holds along these? </t>
  </si>
  <si>
    <t xml:space="preserve">Are shoring and struting provided as per technical team recommendation and in good condition? </t>
  </si>
  <si>
    <t xml:space="preserve">Is there a set of guidelines on "Confined Space Work" available with the site team and same is followed totally? </t>
  </si>
  <si>
    <t>Are excavated area, trenches, pits more than 1.2 meters in depth, provided with hard barricading?</t>
  </si>
  <si>
    <t>Are there enough cautionary boards "Deep Excavation- Stay Away"? Minimum 10</t>
  </si>
  <si>
    <t>Are all the accessories and parts of all the pile rig free from damage?</t>
  </si>
  <si>
    <t xml:space="preserve">Is project free from accumulated water in all the excavated pits? </t>
  </si>
  <si>
    <t>Are confined job works carried out after testing the internal oxygen level and the same is documented?</t>
  </si>
  <si>
    <t>Are there enough resting sheds for the labours inside the work zone?</t>
  </si>
  <si>
    <t xml:space="preserve">Is permit to work being used during confined space work and the same is being documented? </t>
  </si>
  <si>
    <t>Are all the moving parts of all machineries gaurded?</t>
  </si>
  <si>
    <t>Are the emergency stop switches of all the machineries operative?</t>
  </si>
  <si>
    <t>Are all the controls of all the machineries working in good conditions?</t>
  </si>
  <si>
    <t>Are the insulations of all the machineries in good condition?</t>
  </si>
  <si>
    <t>Are all the machineries provided with local isolation switch?</t>
  </si>
  <si>
    <t>Are the electrical connections of all the machines safely done?</t>
  </si>
  <si>
    <t>USSHAR</t>
  </si>
  <si>
    <t>ESBT</t>
  </si>
  <si>
    <t>THE PARK</t>
  </si>
  <si>
    <t>Are all lifeline ropes ( 16 mm dia.) provided for works at height where applicable?</t>
  </si>
  <si>
    <t>NOVEMBER</t>
  </si>
  <si>
    <t>DECEMBER</t>
  </si>
  <si>
    <t>Observation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</si>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</sst>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8"/>
      <color indexed="8"/>
      <name val="Arial Narrow"/>
      <family val="2"/>
    </font>
    <font>
      <b/>
      <sz val="16"/>
      <color theme="1"/>
      <name val="Arial Rounded MT Bold"/>
      <family val="2"/>
    </font>
    <font>
      <b/>
      <sz val="11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rgb="FFFFFF00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9"/>
      <color indexed="81"/>
      <name val="Arial Narrow"/>
      <family val="2"/>
    </font>
    <font>
      <b/>
      <sz val="12"/>
      <color theme="1"/>
      <name val="Garamond"/>
      <family val="1"/>
    </font>
    <font>
      <sz val="12"/>
      <name val="Arial Narrow"/>
      <family val="2"/>
    </font>
    <font>
      <b/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Garamond"/>
      <family val="1"/>
    </font>
    <font>
      <b/>
      <sz val="14"/>
      <color theme="1"/>
      <name val="Garamond"/>
      <family val="1"/>
    </font>
    <font>
      <b/>
      <sz val="11"/>
      <name val="Calibri"/>
      <family val="2"/>
      <scheme val="minor"/>
    </font>
    <font>
      <b/>
      <sz val="10"/>
      <name val="Arial Narrow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9" fontId="10" fillId="4" borderId="3" xfId="1" applyFont="1" applyFill="1" applyBorder="1" applyAlignment="1" applyProtection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1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0" fillId="5" borderId="0" xfId="0" applyFill="1"/>
    <xf numFmtId="0" fontId="6" fillId="5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9" fontId="0" fillId="5" borderId="0" xfId="0" applyNumberFormat="1" applyFill="1"/>
    <xf numFmtId="0" fontId="6" fillId="3" borderId="17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2" borderId="5" xfId="0" applyFont="1" applyFill="1" applyBorder="1" applyAlignment="1" applyProtection="1">
      <alignment vertical="center" wrapText="1"/>
      <protection locked="0"/>
    </xf>
    <xf numFmtId="9" fontId="13" fillId="0" borderId="0" xfId="1" applyFont="1" applyFill="1" applyBorder="1" applyAlignment="1" applyProtection="1">
      <alignment vertical="center" wrapText="1"/>
    </xf>
    <xf numFmtId="9" fontId="13" fillId="6" borderId="25" xfId="1" applyFont="1" applyFill="1" applyBorder="1" applyAlignment="1" applyProtection="1">
      <alignment horizontal="left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5" xfId="0" applyFont="1" applyBorder="1" applyAlignment="1">
      <alignment horizontal="left" vertical="center" wrapText="1"/>
    </xf>
    <xf numFmtId="0" fontId="12" fillId="0" borderId="23" xfId="0" applyFont="1" applyBorder="1" applyAlignment="1">
      <alignment vertical="center"/>
    </xf>
    <xf numFmtId="0" fontId="18" fillId="2" borderId="5" xfId="0" applyFont="1" applyFill="1" applyBorder="1" applyAlignment="1">
      <alignment vertical="center"/>
    </xf>
    <xf numFmtId="0" fontId="9" fillId="0" borderId="5" xfId="0" applyFont="1" applyBorder="1"/>
    <xf numFmtId="9" fontId="19" fillId="0" borderId="5" xfId="1" applyFont="1" applyFill="1" applyBorder="1" applyAlignment="1" applyProtection="1">
      <alignment vertical="center" wrapText="1"/>
    </xf>
    <xf numFmtId="9" fontId="7" fillId="0" borderId="1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7" fontId="0" fillId="0" borderId="5" xfId="0" applyNumberForma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  <protection locked="0"/>
    </xf>
    <xf numFmtId="9" fontId="0" fillId="0" borderId="5" xfId="0" applyNumberForma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 applyProtection="1">
      <alignment horizontal="center" vertical="center" wrapText="1"/>
      <protection locked="0"/>
    </xf>
    <xf numFmtId="0" fontId="7" fillId="0" borderId="35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 wrapText="1"/>
    </xf>
    <xf numFmtId="0" fontId="0" fillId="0" borderId="5" xfId="0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9" fontId="22" fillId="0" borderId="0" xfId="0" applyNumberFormat="1" applyFont="1" applyAlignment="1">
      <alignment horizontal="center" vertical="center"/>
    </xf>
    <xf numFmtId="0" fontId="18" fillId="0" borderId="5" xfId="0" applyFont="1" applyBorder="1" applyAlignment="1">
      <alignment vertical="center"/>
    </xf>
    <xf numFmtId="9" fontId="18" fillId="0" borderId="5" xfId="0" applyNumberFormat="1" applyFont="1" applyBorder="1" applyAlignment="1">
      <alignment horizontal="center" vertical="center"/>
    </xf>
    <xf numFmtId="0" fontId="23" fillId="0" borderId="0" xfId="0" applyFont="1" applyProtection="1">
      <protection locked="0"/>
    </xf>
    <xf numFmtId="0" fontId="23" fillId="0" borderId="0" xfId="0" applyFont="1"/>
    <xf numFmtId="0" fontId="18" fillId="0" borderId="0" xfId="0" applyFont="1" applyAlignment="1">
      <alignment vertical="center"/>
    </xf>
    <xf numFmtId="9" fontId="18" fillId="0" borderId="0" xfId="0" applyNumberFormat="1" applyFont="1" applyAlignment="1">
      <alignment horizontal="center" vertical="center"/>
    </xf>
    <xf numFmtId="9" fontId="25" fillId="0" borderId="5" xfId="0" applyNumberFormat="1" applyFont="1" applyBorder="1" applyAlignment="1">
      <alignment horizontal="center" vertical="center"/>
    </xf>
    <xf numFmtId="9" fontId="2" fillId="5" borderId="5" xfId="0" applyNumberFormat="1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27" fillId="0" borderId="0" xfId="0" applyFont="1"/>
    <xf numFmtId="0" fontId="22" fillId="6" borderId="5" xfId="0" applyFont="1" applyFill="1" applyBorder="1" applyAlignment="1">
      <alignment horizontal="center" vertical="center" wrapText="1"/>
    </xf>
    <xf numFmtId="9" fontId="19" fillId="0" borderId="0" xfId="1" applyFont="1" applyFill="1" applyBorder="1" applyAlignment="1" applyProtection="1">
      <alignment vertical="center" wrapText="1"/>
    </xf>
    <xf numFmtId="0" fontId="9" fillId="0" borderId="0" xfId="0" applyFont="1"/>
    <xf numFmtId="0" fontId="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 applyProtection="1">
      <alignment vertical="center"/>
      <protection locked="0"/>
    </xf>
    <xf numFmtId="9" fontId="7" fillId="0" borderId="26" xfId="0" applyNumberFormat="1" applyFont="1" applyBorder="1" applyAlignment="1">
      <alignment horizontal="center" vertical="center"/>
    </xf>
    <xf numFmtId="9" fontId="7" fillId="0" borderId="17" xfId="0" applyNumberFormat="1" applyFont="1" applyBorder="1" applyAlignment="1">
      <alignment horizontal="center" vertical="center"/>
    </xf>
    <xf numFmtId="0" fontId="7" fillId="5" borderId="5" xfId="0" applyFont="1" applyFill="1" applyBorder="1" applyAlignment="1" applyProtection="1">
      <alignment horizontal="center" vertical="center" wrapText="1"/>
      <protection locked="0"/>
    </xf>
    <xf numFmtId="0" fontId="7" fillId="7" borderId="5" xfId="0" applyFont="1" applyFill="1" applyBorder="1" applyAlignment="1" applyProtection="1">
      <alignment horizontal="center" vertical="center" wrapText="1"/>
      <protection locked="0"/>
    </xf>
    <xf numFmtId="0" fontId="7" fillId="8" borderId="5" xfId="0" applyFont="1" applyFill="1" applyBorder="1" applyAlignment="1" applyProtection="1">
      <alignment horizontal="center" vertical="center" wrapText="1"/>
      <protection locked="0"/>
    </xf>
    <xf numFmtId="0" fontId="7" fillId="7" borderId="21" xfId="0" applyFont="1" applyFill="1" applyBorder="1" applyAlignment="1" applyProtection="1">
      <alignment horizontal="center" vertical="center" wrapText="1"/>
      <protection locked="0"/>
    </xf>
    <xf numFmtId="0" fontId="7" fillId="5" borderId="36" xfId="0" applyFont="1" applyFill="1" applyBorder="1" applyAlignment="1" applyProtection="1">
      <alignment horizontal="center" vertical="center" wrapText="1"/>
      <protection locked="0"/>
    </xf>
    <xf numFmtId="0" fontId="7" fillId="5" borderId="2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vertical="center"/>
    </xf>
    <xf numFmtId="0" fontId="12" fillId="7" borderId="5" xfId="0" applyFont="1" applyFill="1" applyBorder="1" applyAlignment="1">
      <alignment vertical="center"/>
    </xf>
    <xf numFmtId="0" fontId="12" fillId="7" borderId="19" xfId="0" applyFont="1" applyFill="1" applyBorder="1" applyAlignment="1">
      <alignment vertical="center"/>
    </xf>
    <xf numFmtId="0" fontId="12" fillId="5" borderId="19" xfId="0" applyFont="1" applyFill="1" applyBorder="1" applyAlignment="1">
      <alignment vertical="center"/>
    </xf>
    <xf numFmtId="0" fontId="12" fillId="5" borderId="20" xfId="0" applyFont="1" applyFill="1" applyBorder="1" applyAlignment="1">
      <alignment vertical="center"/>
    </xf>
    <xf numFmtId="0" fontId="12" fillId="5" borderId="21" xfId="0" applyFont="1" applyFill="1" applyBorder="1" applyAlignment="1">
      <alignment vertical="center"/>
    </xf>
    <xf numFmtId="0" fontId="12" fillId="8" borderId="5" xfId="0" applyFont="1" applyFill="1" applyBorder="1" applyAlignment="1">
      <alignment vertical="center"/>
    </xf>
    <xf numFmtId="0" fontId="12" fillId="7" borderId="21" xfId="0" applyFont="1" applyFill="1" applyBorder="1" applyAlignment="1">
      <alignment vertical="center"/>
    </xf>
    <xf numFmtId="0" fontId="12" fillId="5" borderId="5" xfId="0" applyFont="1" applyFill="1" applyBorder="1" applyAlignment="1">
      <alignment horizontal="justify" vertical="top" wrapText="1"/>
    </xf>
    <xf numFmtId="0" fontId="12" fillId="5" borderId="11" xfId="0" applyFont="1" applyFill="1" applyBorder="1" applyAlignment="1">
      <alignment vertical="center"/>
    </xf>
    <xf numFmtId="0" fontId="0" fillId="10" borderId="5" xfId="0" applyFill="1" applyBorder="1"/>
    <xf numFmtId="0" fontId="7" fillId="10" borderId="5" xfId="0" applyFont="1" applyFill="1" applyBorder="1" applyAlignment="1">
      <alignment horizontal="center" vertical="center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12" fillId="7" borderId="5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justify" vertical="top" wrapText="1"/>
    </xf>
    <xf numFmtId="0" fontId="21" fillId="0" borderId="0" xfId="0" applyFont="1" applyAlignment="1">
      <alignment horizontal="justify" vertical="top" wrapText="1"/>
    </xf>
    <xf numFmtId="0" fontId="11" fillId="6" borderId="2" xfId="0" applyFont="1" applyFill="1" applyBorder="1" applyAlignment="1">
      <alignment horizontal="right" vertical="center" wrapText="1"/>
    </xf>
    <xf numFmtId="0" fontId="11" fillId="6" borderId="3" xfId="0" applyFont="1" applyFill="1" applyBorder="1" applyAlignment="1">
      <alignment horizontal="right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6" fillId="9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textRotation="90" wrapText="1"/>
    </xf>
    <xf numFmtId="0" fontId="11" fillId="0" borderId="7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8" xfId="0" applyFont="1" applyBorder="1" applyAlignment="1">
      <alignment horizontal="center" vertical="center" textRotation="90" wrapText="1"/>
    </xf>
    <xf numFmtId="0" fontId="11" fillId="0" borderId="16" xfId="0" applyFont="1" applyBorder="1" applyAlignment="1">
      <alignment horizontal="center" vertical="center" textRotation="90" wrapText="1"/>
    </xf>
    <xf numFmtId="9" fontId="13" fillId="0" borderId="20" xfId="1" applyFont="1" applyFill="1" applyBorder="1" applyAlignment="1" applyProtection="1">
      <alignment horizontal="center" vertical="center" wrapText="1"/>
    </xf>
    <xf numFmtId="9" fontId="13" fillId="0" borderId="19" xfId="1" applyFont="1" applyFill="1" applyBorder="1" applyAlignment="1" applyProtection="1">
      <alignment horizontal="center" vertical="center" wrapText="1"/>
    </xf>
    <xf numFmtId="9" fontId="13" fillId="0" borderId="21" xfId="1" applyFont="1" applyFill="1" applyBorder="1" applyAlignment="1" applyProtection="1">
      <alignment horizontal="center" vertical="center" wrapText="1"/>
    </xf>
    <xf numFmtId="0" fontId="14" fillId="0" borderId="28" xfId="1" applyNumberFormat="1" applyFont="1" applyFill="1" applyBorder="1" applyAlignment="1" applyProtection="1">
      <alignment horizontal="center" vertical="center" wrapText="1"/>
    </xf>
    <xf numFmtId="0" fontId="14" fillId="0" borderId="24" xfId="1" applyNumberFormat="1" applyFont="1" applyFill="1" applyBorder="1" applyAlignment="1" applyProtection="1">
      <alignment horizontal="center" vertical="center" wrapText="1"/>
    </xf>
    <xf numFmtId="0" fontId="14" fillId="0" borderId="40" xfId="1" applyNumberFormat="1" applyFont="1" applyFill="1" applyBorder="1" applyAlignment="1" applyProtection="1">
      <alignment horizontal="center" vertical="center" wrapText="1"/>
    </xf>
    <xf numFmtId="0" fontId="14" fillId="0" borderId="29" xfId="1" applyNumberFormat="1" applyFont="1" applyFill="1" applyBorder="1" applyAlignment="1" applyProtection="1">
      <alignment horizontal="center" vertical="center" wrapText="1"/>
    </xf>
    <xf numFmtId="0" fontId="11" fillId="0" borderId="20" xfId="0" applyFont="1" applyBorder="1" applyAlignment="1">
      <alignment horizontal="center" vertical="center" textRotation="90" wrapText="1"/>
    </xf>
    <xf numFmtId="0" fontId="11" fillId="0" borderId="19" xfId="0" applyFont="1" applyBorder="1" applyAlignment="1">
      <alignment horizontal="center" vertical="center" textRotation="90" wrapText="1"/>
    </xf>
    <xf numFmtId="0" fontId="11" fillId="0" borderId="21" xfId="0" applyFont="1" applyBorder="1" applyAlignment="1">
      <alignment horizontal="center" vertical="center" textRotation="90" wrapText="1"/>
    </xf>
    <xf numFmtId="0" fontId="3" fillId="0" borderId="0" xfId="0" applyFont="1" applyAlignment="1">
      <alignment horizontal="right" vertical="top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 applyProtection="1">
      <alignment horizontal="center" vertical="center"/>
      <protection locked="0"/>
    </xf>
    <xf numFmtId="0" fontId="10" fillId="4" borderId="2" xfId="0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horizontal="center" vertical="center" textRotation="90" wrapText="1"/>
    </xf>
    <xf numFmtId="0" fontId="11" fillId="0" borderId="15" xfId="0" applyFont="1" applyBorder="1" applyAlignment="1">
      <alignment horizontal="center" vertical="center" textRotation="90" wrapText="1"/>
    </xf>
    <xf numFmtId="0" fontId="14" fillId="0" borderId="30" xfId="1" applyNumberFormat="1" applyFont="1" applyFill="1" applyBorder="1" applyAlignment="1" applyProtection="1">
      <alignment horizontal="center" vertical="center" textRotation="90" wrapText="1"/>
    </xf>
    <xf numFmtId="0" fontId="14" fillId="0" borderId="31" xfId="1" applyNumberFormat="1" applyFont="1" applyFill="1" applyBorder="1" applyAlignment="1" applyProtection="1">
      <alignment horizontal="center" vertical="center" textRotation="90" wrapText="1"/>
    </xf>
    <xf numFmtId="0" fontId="14" fillId="0" borderId="32" xfId="1" applyNumberFormat="1" applyFont="1" applyFill="1" applyBorder="1" applyAlignment="1" applyProtection="1">
      <alignment horizontal="center" vertical="center" textRotation="90" wrapText="1"/>
    </xf>
    <xf numFmtId="0" fontId="14" fillId="0" borderId="39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'Graphs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21-4B4F-ACC0-A68B69F3AE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0337056"/>
        <c:axId val="190359616"/>
      </c:barChart>
      <c:catAx>
        <c:axId val="19033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9616"/>
        <c:crosses val="autoZero"/>
        <c:auto val="1"/>
        <c:lblAlgn val="ctr"/>
        <c:lblOffset val="100"/>
        <c:noMultiLvlLbl val="0"/>
      </c:catAx>
      <c:valAx>
        <c:axId val="190359616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0337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'Graphs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8A7-4A63-B1CB-04C95F24C5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7987248"/>
        <c:axId val="187993008"/>
      </c:barChart>
      <c:catAx>
        <c:axId val="18798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3008"/>
        <c:crosses val="autoZero"/>
        <c:auto val="1"/>
        <c:lblAlgn val="ctr"/>
        <c:lblOffset val="100"/>
        <c:noMultiLvlLbl val="0"/>
      </c:catAx>
      <c:valAx>
        <c:axId val="187993008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7987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'Graphs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86B-459F-A5F2-0679B0AAF1C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0350976"/>
        <c:axId val="190345696"/>
      </c:barChart>
      <c:catAx>
        <c:axId val="1903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45696"/>
        <c:crosses val="autoZero"/>
        <c:auto val="1"/>
        <c:lblAlgn val="ctr"/>
        <c:lblOffset val="100"/>
        <c:noMultiLvlLbl val="0"/>
      </c:catAx>
      <c:valAx>
        <c:axId val="190345696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0350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'Graphs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55D-4018-AAD1-D578423CED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7997328"/>
        <c:axId val="187995408"/>
      </c:barChart>
      <c:catAx>
        <c:axId val="18799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5408"/>
        <c:crosses val="autoZero"/>
        <c:auto val="1"/>
        <c:lblAlgn val="ctr"/>
        <c:lblOffset val="100"/>
        <c:noMultiLvlLbl val="0"/>
      </c:catAx>
      <c:valAx>
        <c:axId val="187995408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87997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'!$D$22</c:f>
              <c:strCache>
                <c:ptCount val="1"/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'Graphs '!$D$23:$D$27</c:f>
              <c:numCache>
                <c:formatCode>0%</c:formatCode>
                <c:ptCount val="5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'Graphs 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A64-4F46-A220-0DD87D413C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8001648"/>
        <c:axId val="187990128"/>
      </c:barChart>
      <c:catAx>
        <c:axId val="1880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90128"/>
        <c:crosses val="autoZero"/>
        <c:auto val="1"/>
        <c:lblAlgn val="ctr"/>
        <c:lblOffset val="100"/>
        <c:noMultiLvlLbl val="0"/>
      </c:catAx>
      <c:valAx>
        <c:axId val="187990128"/>
        <c:scaling>
          <c:orientation val="minMax"/>
        </c:scaling>
        <c:delete val="1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88001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'!$P$4</c:f>
              <c:strCache>
                <c:ptCount val="1"/>
                <c:pt idx="0">
                  <c:v>Q-4 (24-25)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'!$P$5:$P$18</c:f>
              <c:numCache>
                <c:formatCode>0%</c:formatCode>
                <c:ptCount val="14"/>
                <c:pt idx="0">
                  <c:v>0.82</c:v>
                </c:pt>
                <c:pt idx="1">
                  <c:v>0.84</c:v>
                </c:pt>
                <c:pt idx="2">
                  <c:v>0.79</c:v>
                </c:pt>
                <c:pt idx="3">
                  <c:v>0.79</c:v>
                </c:pt>
                <c:pt idx="4">
                  <c:v>0.87</c:v>
                </c:pt>
                <c:pt idx="5">
                  <c:v>0.86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0.89</c:v>
                </c:pt>
                <c:pt idx="10">
                  <c:v>0.88</c:v>
                </c:pt>
                <c:pt idx="11">
                  <c:v>0</c:v>
                </c:pt>
                <c:pt idx="12">
                  <c:v>0.91</c:v>
                </c:pt>
                <c:pt idx="1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1-4AB0-AFBE-4C5B1762CDCE}"/>
            </c:ext>
          </c:extLst>
        </c:ser>
        <c:ser>
          <c:idx val="1"/>
          <c:order val="1"/>
          <c:tx>
            <c:strRef>
              <c:f>'Graphs '!$Q$4</c:f>
              <c:strCache>
                <c:ptCount val="1"/>
                <c:pt idx="0">
                  <c:v>Q-3 (24-25)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'!$Q$5:$Q$18</c:f>
              <c:numCache>
                <c:formatCode>0%</c:formatCode>
                <c:ptCount val="14"/>
                <c:pt idx="0">
                  <c:v>0.81</c:v>
                </c:pt>
                <c:pt idx="1">
                  <c:v>0.86</c:v>
                </c:pt>
                <c:pt idx="2">
                  <c:v>0.82</c:v>
                </c:pt>
                <c:pt idx="3">
                  <c:v>0.78</c:v>
                </c:pt>
                <c:pt idx="4">
                  <c:v>0.88</c:v>
                </c:pt>
                <c:pt idx="5">
                  <c:v>0.86</c:v>
                </c:pt>
                <c:pt idx="6">
                  <c:v>0.85</c:v>
                </c:pt>
                <c:pt idx="7">
                  <c:v>0.89</c:v>
                </c:pt>
                <c:pt idx="8">
                  <c:v>0.86</c:v>
                </c:pt>
                <c:pt idx="9">
                  <c:v>0.88</c:v>
                </c:pt>
                <c:pt idx="10">
                  <c:v>0.88</c:v>
                </c:pt>
                <c:pt idx="11">
                  <c:v>0</c:v>
                </c:pt>
                <c:pt idx="12">
                  <c:v>1</c:v>
                </c:pt>
                <c:pt idx="13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91-4AB0-AFBE-4C5B1762CDCE}"/>
            </c:ext>
          </c:extLst>
        </c:ser>
        <c:ser>
          <c:idx val="2"/>
          <c:order val="2"/>
          <c:tx>
            <c:strRef>
              <c:f>'Graphs '!$R$4</c:f>
              <c:strCache>
                <c:ptCount val="1"/>
                <c:pt idx="0">
                  <c:v>Q-2 (24-25)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'!$R$5:$R$18</c:f>
              <c:numCache>
                <c:formatCode>0%</c:formatCode>
                <c:ptCount val="14"/>
                <c:pt idx="0">
                  <c:v>0.79</c:v>
                </c:pt>
                <c:pt idx="1">
                  <c:v>0.84</c:v>
                </c:pt>
                <c:pt idx="2">
                  <c:v>0.74</c:v>
                </c:pt>
                <c:pt idx="3">
                  <c:v>0.76</c:v>
                </c:pt>
                <c:pt idx="4">
                  <c:v>0.86</c:v>
                </c:pt>
                <c:pt idx="5">
                  <c:v>0.84</c:v>
                </c:pt>
                <c:pt idx="6">
                  <c:v>0.83</c:v>
                </c:pt>
                <c:pt idx="7">
                  <c:v>0.87</c:v>
                </c:pt>
                <c:pt idx="8">
                  <c:v>0.8</c:v>
                </c:pt>
                <c:pt idx="9">
                  <c:v>0.93</c:v>
                </c:pt>
                <c:pt idx="10">
                  <c:v>0.83</c:v>
                </c:pt>
                <c:pt idx="11">
                  <c:v>0</c:v>
                </c:pt>
                <c:pt idx="12">
                  <c:v>0.92</c:v>
                </c:pt>
                <c:pt idx="13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91-4AB0-AFBE-4C5B1762CDCE}"/>
            </c:ext>
          </c:extLst>
        </c:ser>
        <c:ser>
          <c:idx val="3"/>
          <c:order val="3"/>
          <c:tx>
            <c:strRef>
              <c:f>'Graphs '!$S$4</c:f>
              <c:strCache>
                <c:ptCount val="1"/>
                <c:pt idx="0">
                  <c:v>Q-1 (25-26)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'!$S$5:$S$18</c:f>
              <c:numCache>
                <c:formatCode>0%</c:formatCode>
                <c:ptCount val="14"/>
                <c:pt idx="0">
                  <c:v>0.82</c:v>
                </c:pt>
                <c:pt idx="1">
                  <c:v>0.86</c:v>
                </c:pt>
                <c:pt idx="2">
                  <c:v>0.78</c:v>
                </c:pt>
                <c:pt idx="3">
                  <c:v>0.8</c:v>
                </c:pt>
                <c:pt idx="4">
                  <c:v>0.86</c:v>
                </c:pt>
                <c:pt idx="5">
                  <c:v>0.87</c:v>
                </c:pt>
                <c:pt idx="6">
                  <c:v>0.84</c:v>
                </c:pt>
                <c:pt idx="7">
                  <c:v>0.85</c:v>
                </c:pt>
                <c:pt idx="8">
                  <c:v>0.89</c:v>
                </c:pt>
                <c:pt idx="9">
                  <c:v>0.89</c:v>
                </c:pt>
                <c:pt idx="10">
                  <c:v>0.85</c:v>
                </c:pt>
                <c:pt idx="11">
                  <c:v>0.75</c:v>
                </c:pt>
                <c:pt idx="12">
                  <c:v>0.7</c:v>
                </c:pt>
                <c:pt idx="1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91-4AB0-AFBE-4C5B1762C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28261183"/>
        <c:axId val="228244863"/>
      </c:barChart>
      <c:catAx>
        <c:axId val="22826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244863"/>
        <c:crosses val="autoZero"/>
        <c:auto val="1"/>
        <c:lblAlgn val="ctr"/>
        <c:lblOffset val="100"/>
        <c:noMultiLvlLbl val="0"/>
      </c:catAx>
      <c:valAx>
        <c:axId val="22824486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2826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'!$P$4</c:f>
              <c:strCache>
                <c:ptCount val="1"/>
                <c:pt idx="0">
                  <c:v>Q-4 (24-25)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'!$P$5:$P$18</c:f>
              <c:numCache>
                <c:formatCode>0%</c:formatCode>
                <c:ptCount val="14"/>
                <c:pt idx="0">
                  <c:v>0.82</c:v>
                </c:pt>
                <c:pt idx="1">
                  <c:v>0.84</c:v>
                </c:pt>
                <c:pt idx="2">
                  <c:v>0.79</c:v>
                </c:pt>
                <c:pt idx="3">
                  <c:v>0.79</c:v>
                </c:pt>
                <c:pt idx="4">
                  <c:v>0.87</c:v>
                </c:pt>
                <c:pt idx="5">
                  <c:v>0.86</c:v>
                </c:pt>
                <c:pt idx="6">
                  <c:v>0.84</c:v>
                </c:pt>
                <c:pt idx="7">
                  <c:v>0.88</c:v>
                </c:pt>
                <c:pt idx="8">
                  <c:v>0.89</c:v>
                </c:pt>
                <c:pt idx="9">
                  <c:v>0.89</c:v>
                </c:pt>
                <c:pt idx="10">
                  <c:v>0.88</c:v>
                </c:pt>
                <c:pt idx="11">
                  <c:v>0</c:v>
                </c:pt>
                <c:pt idx="12">
                  <c:v>0.91</c:v>
                </c:pt>
                <c:pt idx="1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2-43D5-A651-550C4B58F3BA}"/>
            </c:ext>
          </c:extLst>
        </c:ser>
        <c:ser>
          <c:idx val="1"/>
          <c:order val="1"/>
          <c:tx>
            <c:strRef>
              <c:f>'Graphs '!$Q$4</c:f>
              <c:strCache>
                <c:ptCount val="1"/>
                <c:pt idx="0">
                  <c:v>Q-3 (24-25)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'!$Q$5:$Q$18</c:f>
              <c:numCache>
                <c:formatCode>0%</c:formatCode>
                <c:ptCount val="14"/>
                <c:pt idx="0">
                  <c:v>0.81</c:v>
                </c:pt>
                <c:pt idx="1">
                  <c:v>0.86</c:v>
                </c:pt>
                <c:pt idx="2">
                  <c:v>0.82</c:v>
                </c:pt>
                <c:pt idx="3">
                  <c:v>0.78</c:v>
                </c:pt>
                <c:pt idx="4">
                  <c:v>0.88</c:v>
                </c:pt>
                <c:pt idx="5">
                  <c:v>0.86</c:v>
                </c:pt>
                <c:pt idx="6">
                  <c:v>0.85</c:v>
                </c:pt>
                <c:pt idx="7">
                  <c:v>0.89</c:v>
                </c:pt>
                <c:pt idx="8">
                  <c:v>0.86</c:v>
                </c:pt>
                <c:pt idx="9">
                  <c:v>0.88</c:v>
                </c:pt>
                <c:pt idx="10">
                  <c:v>0.88</c:v>
                </c:pt>
                <c:pt idx="11">
                  <c:v>0</c:v>
                </c:pt>
                <c:pt idx="12">
                  <c:v>1</c:v>
                </c:pt>
                <c:pt idx="13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2-43D5-A651-550C4B58F3BA}"/>
            </c:ext>
          </c:extLst>
        </c:ser>
        <c:ser>
          <c:idx val="2"/>
          <c:order val="2"/>
          <c:tx>
            <c:strRef>
              <c:f>'Graphs '!$R$4</c:f>
              <c:strCache>
                <c:ptCount val="1"/>
                <c:pt idx="0">
                  <c:v>Q-2 (24-25)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'!$R$5:$R$18</c:f>
              <c:numCache>
                <c:formatCode>0%</c:formatCode>
                <c:ptCount val="14"/>
                <c:pt idx="0">
                  <c:v>0.79</c:v>
                </c:pt>
                <c:pt idx="1">
                  <c:v>0.84</c:v>
                </c:pt>
                <c:pt idx="2">
                  <c:v>0.74</c:v>
                </c:pt>
                <c:pt idx="3">
                  <c:v>0.76</c:v>
                </c:pt>
                <c:pt idx="4">
                  <c:v>0.86</c:v>
                </c:pt>
                <c:pt idx="5">
                  <c:v>0.84</c:v>
                </c:pt>
                <c:pt idx="6">
                  <c:v>0.83</c:v>
                </c:pt>
                <c:pt idx="7">
                  <c:v>0.87</c:v>
                </c:pt>
                <c:pt idx="8">
                  <c:v>0.8</c:v>
                </c:pt>
                <c:pt idx="9">
                  <c:v>0.93</c:v>
                </c:pt>
                <c:pt idx="10">
                  <c:v>0.83</c:v>
                </c:pt>
                <c:pt idx="11">
                  <c:v>0</c:v>
                </c:pt>
                <c:pt idx="12">
                  <c:v>0.92</c:v>
                </c:pt>
                <c:pt idx="13">
                  <c:v>0.91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A2-43D5-A651-550C4B58F3BA}"/>
            </c:ext>
          </c:extLst>
        </c:ser>
        <c:ser>
          <c:idx val="3"/>
          <c:order val="3"/>
          <c:tx>
            <c:strRef>
              <c:f>'Graphs '!$S$4</c:f>
              <c:strCache>
                <c:ptCount val="1"/>
                <c:pt idx="0">
                  <c:v>Q-1 (25-26)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'!$S$5:$S$18</c:f>
              <c:numCache>
                <c:formatCode>0%</c:formatCode>
                <c:ptCount val="14"/>
                <c:pt idx="0">
                  <c:v>0.82</c:v>
                </c:pt>
                <c:pt idx="1">
                  <c:v>0.86</c:v>
                </c:pt>
                <c:pt idx="2">
                  <c:v>0.78</c:v>
                </c:pt>
                <c:pt idx="3">
                  <c:v>0.8</c:v>
                </c:pt>
                <c:pt idx="4">
                  <c:v>0.86</c:v>
                </c:pt>
                <c:pt idx="5">
                  <c:v>0.87</c:v>
                </c:pt>
                <c:pt idx="6">
                  <c:v>0.84</c:v>
                </c:pt>
                <c:pt idx="7">
                  <c:v>0.85</c:v>
                </c:pt>
                <c:pt idx="8">
                  <c:v>0.89</c:v>
                </c:pt>
                <c:pt idx="9">
                  <c:v>0.89</c:v>
                </c:pt>
                <c:pt idx="10">
                  <c:v>0.85</c:v>
                </c:pt>
                <c:pt idx="11">
                  <c:v>0.75</c:v>
                </c:pt>
                <c:pt idx="12">
                  <c:v>0.7</c:v>
                </c:pt>
                <c:pt idx="1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2-43D5-A651-550C4B58F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53151967"/>
        <c:axId val="1053143327"/>
      </c:barChart>
      <c:catAx>
        <c:axId val="105315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143327"/>
        <c:crosses val="autoZero"/>
        <c:auto val="1"/>
        <c:lblAlgn val="ctr"/>
        <c:lblOffset val="100"/>
        <c:noMultiLvlLbl val="0"/>
      </c:catAx>
      <c:valAx>
        <c:axId val="105314332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531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'!$S$4</c:f>
              <c:strCache>
                <c:ptCount val="1"/>
                <c:pt idx="0">
                  <c:v>Q-1 (25-26)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'Graphs '!$O$5:$O$18</c:f>
              <c:strCache>
                <c:ptCount val="14"/>
                <c:pt idx="0">
                  <c:v>General Safety</c:v>
                </c:pt>
                <c:pt idx="1">
                  <c:v>Housekeeping</c:v>
                </c:pt>
                <c:pt idx="2">
                  <c:v>Personal Protective Equipment and work apparels</c:v>
                </c:pt>
                <c:pt idx="3">
                  <c:v>Work at Height</c:v>
                </c:pt>
                <c:pt idx="4">
                  <c:v>Electrical</c:v>
                </c:pt>
                <c:pt idx="5">
                  <c:v>Welding,  cutting and grinding</c:v>
                </c:pt>
                <c:pt idx="6">
                  <c:v>Vehicles, Earth movers &amp; Lifting Equipment</c:v>
                </c:pt>
                <c:pt idx="7">
                  <c:v>Fire Prevention/ Protection</c:v>
                </c:pt>
                <c:pt idx="8">
                  <c:v>First Aid &amp; Medical Facilities</c:v>
                </c:pt>
                <c:pt idx="9">
                  <c:v>Welfare Facilities and labour accomodation</c:v>
                </c:pt>
                <c:pt idx="10">
                  <c:v>Environment Aspects</c:v>
                </c:pt>
                <c:pt idx="11">
                  <c:v>Piling Work</c:v>
                </c:pt>
                <c:pt idx="12">
                  <c:v>Excavation and confined space job</c:v>
                </c:pt>
                <c:pt idx="13">
                  <c:v>Hand tools (manual and power driven)</c:v>
                </c:pt>
              </c:strCache>
            </c:strRef>
          </c:cat>
          <c:val>
            <c:numRef>
              <c:f>'Graphs '!$S$5:$S$18</c:f>
              <c:numCache>
                <c:formatCode>0%</c:formatCode>
                <c:ptCount val="14"/>
                <c:pt idx="0">
                  <c:v>0.82</c:v>
                </c:pt>
                <c:pt idx="1">
                  <c:v>0.86</c:v>
                </c:pt>
                <c:pt idx="2">
                  <c:v>0.78</c:v>
                </c:pt>
                <c:pt idx="3">
                  <c:v>0.8</c:v>
                </c:pt>
                <c:pt idx="4">
                  <c:v>0.86</c:v>
                </c:pt>
                <c:pt idx="5">
                  <c:v>0.87</c:v>
                </c:pt>
                <c:pt idx="6">
                  <c:v>0.84</c:v>
                </c:pt>
                <c:pt idx="7">
                  <c:v>0.85</c:v>
                </c:pt>
                <c:pt idx="8">
                  <c:v>0.89</c:v>
                </c:pt>
                <c:pt idx="9">
                  <c:v>0.89</c:v>
                </c:pt>
                <c:pt idx="10">
                  <c:v>0.85</c:v>
                </c:pt>
                <c:pt idx="11">
                  <c:v>0.75</c:v>
                </c:pt>
                <c:pt idx="12">
                  <c:v>0.7</c:v>
                </c:pt>
                <c:pt idx="13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2-457F-B7D3-EC0439F95D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8489679"/>
        <c:axId val="388511759"/>
      </c:barChart>
      <c:catAx>
        <c:axId val="38848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511759"/>
        <c:crosses val="autoZero"/>
        <c:auto val="1"/>
        <c:lblAlgn val="ctr"/>
        <c:lblOffset val="100"/>
        <c:noMultiLvlLbl val="0"/>
      </c:catAx>
      <c:valAx>
        <c:axId val="3885117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8848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84666</xdr:rowOff>
    </xdr:from>
    <xdr:to>
      <xdr:col>1</xdr:col>
      <xdr:colOff>523180</xdr:colOff>
      <xdr:row>0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E32FDA-1A14-48A7-929E-0AC27DA15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666"/>
          <a:ext cx="1374080" cy="162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238125</xdr:colOff>
      <xdr:row>35</xdr:row>
      <xdr:rowOff>66675</xdr:rowOff>
    </xdr:from>
    <xdr:to>
      <xdr:col>25</xdr:col>
      <xdr:colOff>542925</xdr:colOff>
      <xdr:row>50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4CAE9A-2D38-1EA6-BD99-88E30260A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282575</xdr:colOff>
      <xdr:row>51</xdr:row>
      <xdr:rowOff>22225</xdr:rowOff>
    </xdr:from>
    <xdr:to>
      <xdr:col>25</xdr:col>
      <xdr:colOff>587375</xdr:colOff>
      <xdr:row>66</xdr:row>
      <xdr:rowOff>3175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762CE8-489E-ABE4-C00B-AD62F8D84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41275</xdr:colOff>
      <xdr:row>35</xdr:row>
      <xdr:rowOff>79375</xdr:rowOff>
    </xdr:from>
    <xdr:to>
      <xdr:col>33</xdr:col>
      <xdr:colOff>346075</xdr:colOff>
      <xdr:row>50</xdr:row>
      <xdr:rowOff>60325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35CAF30-927E-2B9B-88FC-DF441C7C8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276225</xdr:colOff>
      <xdr:row>66</xdr:row>
      <xdr:rowOff>60325</xdr:rowOff>
    </xdr:from>
    <xdr:to>
      <xdr:col>25</xdr:col>
      <xdr:colOff>581025</xdr:colOff>
      <xdr:row>96</xdr:row>
      <xdr:rowOff>41275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BD2ECC6-4BDA-3433-67C3-643AECCAE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111125</xdr:colOff>
      <xdr:row>51</xdr:row>
      <xdr:rowOff>15875</xdr:rowOff>
    </xdr:from>
    <xdr:to>
      <xdr:col>33</xdr:col>
      <xdr:colOff>415925</xdr:colOff>
      <xdr:row>65</xdr:row>
      <xdr:rowOff>180975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B75DCE4-06B2-AB33-C303-EC8390CF1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367393</xdr:colOff>
      <xdr:row>16</xdr:row>
      <xdr:rowOff>11793</xdr:rowOff>
    </xdr:from>
    <xdr:to>
      <xdr:col>28</xdr:col>
      <xdr:colOff>77108</xdr:colOff>
      <xdr:row>28</xdr:row>
      <xdr:rowOff>97065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FFB8E40-8965-4707-FBC0-3CFB94597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257175</xdr:colOff>
      <xdr:row>3</xdr:row>
      <xdr:rowOff>38100</xdr:rowOff>
    </xdr:from>
    <xdr:to>
      <xdr:col>26</xdr:col>
      <xdr:colOff>561975</xdr:colOff>
      <xdr:row>14</xdr:row>
      <xdr:rowOff>101600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CC21B15-2255-FA5F-7299-9A5F99CDC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79375</xdr:colOff>
      <xdr:row>18</xdr:row>
      <xdr:rowOff>82550</xdr:rowOff>
    </xdr:from>
    <xdr:to>
      <xdr:col>21</xdr:col>
      <xdr:colOff>327025</xdr:colOff>
      <xdr:row>31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33E0B2-3D0B-C975-226B-FD701E94E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Q224"/>
  <sheetViews>
    <sheetView tabSelected="1" workbookViewId="0">
      <selection activeCell="I184" sqref="I184"/>
    </sheetView>
  </sheetViews>
  <sheetFormatPr defaultRowHeight="15" x14ac:dyDescent="0.25"/>
  <cols>
    <col min="1" max="1" width="12.140625" customWidth="1"/>
    <col min="3" max="3" width="79.42578125" customWidth="1"/>
    <col min="4" max="4" width="11.140625" customWidth="1"/>
    <col min="5" max="5" width="11.42578125" customWidth="1"/>
    <col min="6" max="6" width="3.28515625" hidden="1" customWidth="1"/>
    <col min="8" max="8" width="14" customWidth="1"/>
    <col min="9" max="9" width="13.28515625" customWidth="1"/>
    <col min="11" max="11" width="19.7109375" customWidth="1"/>
    <col min="12" max="12" width="5.7109375" customWidth="1"/>
    <col min="13" max="13" width="12.140625" customWidth="1"/>
    <col min="14" max="14" width="10.7109375" customWidth="1"/>
    <col min="15" max="15" width="12.5703125" customWidth="1"/>
    <col min="16" max="16" width="24.140625" customWidth="1"/>
    <col min="17" max="17" width="17.5703125" customWidth="1"/>
    <col min="18" max="18" width="5.85546875" bestFit="1" customWidth="1"/>
    <col min="24" max="24" width="8.7109375" hidden="1" customWidth="1"/>
    <col min="25" max="25" width="14.7109375" hidden="1" customWidth="1"/>
    <col min="26" max="26" width="15.42578125" hidden="1" customWidth="1"/>
    <col min="27" max="27" width="9.140625" hidden="1" customWidth="1"/>
    <col min="173" max="173" width="8.7109375" style="82"/>
  </cols>
  <sheetData>
    <row r="1" spans="1:27" ht="23.25" x14ac:dyDescent="0.2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27" ht="19.5" x14ac:dyDescent="0.25">
      <c r="A2" s="1"/>
      <c r="B2" s="1"/>
      <c r="C2" s="1"/>
      <c r="D2" s="1"/>
      <c r="E2" s="1"/>
      <c r="F2" s="1"/>
      <c r="G2" s="1"/>
      <c r="H2" s="1"/>
      <c r="I2" s="1"/>
    </row>
    <row r="3" spans="1:27" ht="15.75" x14ac:dyDescent="0.25">
      <c r="A3" s="145" t="s">
        <v>1</v>
      </c>
      <c r="B3" s="145"/>
      <c r="C3" s="30" t="s">
        <v>104</v>
      </c>
      <c r="D3" s="43" t="s">
        <v>78</v>
      </c>
      <c r="E3" s="146" t="s">
        <v>81</v>
      </c>
      <c r="F3" s="146"/>
      <c r="G3" s="146"/>
      <c r="H3" s="146">
        <v>2026</v>
      </c>
      <c r="I3" s="146"/>
    </row>
    <row r="4" spans="1:27" ht="17.25" thickBot="1" x14ac:dyDescent="0.35">
      <c r="A4" s="2"/>
      <c r="B4" s="3"/>
      <c r="C4" s="3"/>
      <c r="D4" s="4"/>
      <c r="E4" s="4"/>
      <c r="F4" s="4" t="s">
        <v>7</v>
      </c>
      <c r="G4" s="4"/>
      <c r="H4" s="5"/>
      <c r="I4" s="6"/>
    </row>
    <row r="5" spans="1:27" ht="16.5" thickBot="1" x14ac:dyDescent="0.3">
      <c r="A5" s="147" t="s">
        <v>2</v>
      </c>
      <c r="B5" s="148"/>
      <c r="C5" s="7">
        <f>C171</f>
        <v>0.67030360531309297</v>
      </c>
      <c r="D5" s="149" t="s">
        <v>3</v>
      </c>
      <c r="E5" s="149"/>
      <c r="F5" s="149"/>
      <c r="G5" s="149"/>
      <c r="H5" s="150" t="str">
        <f>H171</f>
        <v>BELOW AVERAGE</v>
      </c>
      <c r="I5" s="151"/>
    </row>
    <row r="6" spans="1:27" ht="16.5" x14ac:dyDescent="0.3">
      <c r="A6" s="8"/>
      <c r="D6" s="9"/>
      <c r="E6" s="9"/>
      <c r="F6" s="9"/>
      <c r="G6" s="9"/>
      <c r="H6" s="10"/>
      <c r="I6" s="11"/>
    </row>
    <row r="7" spans="1:27" ht="73.5" customHeight="1" thickBot="1" x14ac:dyDescent="0.3">
      <c r="A7" s="17" t="s">
        <v>4</v>
      </c>
      <c r="B7" s="17" t="s">
        <v>5</v>
      </c>
      <c r="C7" s="17" t="s">
        <v>6</v>
      </c>
      <c r="D7" s="17" t="s">
        <v>7</v>
      </c>
      <c r="E7" s="17" t="s">
        <v>72</v>
      </c>
      <c r="F7" s="17" t="s">
        <v>73</v>
      </c>
      <c r="G7" s="17" t="s">
        <v>74</v>
      </c>
      <c r="H7" s="17" t="s">
        <v>75</v>
      </c>
      <c r="I7" s="17" t="s">
        <v>76</v>
      </c>
    </row>
    <row r="8" spans="1:27" ht="15" customHeight="1" x14ac:dyDescent="0.25">
      <c r="A8" s="152" t="s">
        <v>8</v>
      </c>
      <c r="B8" s="33">
        <v>1</v>
      </c>
      <c r="C8" s="34" t="s">
        <v>27</v>
      </c>
      <c r="D8" s="52" t="s">
        <v>22</v>
      </c>
      <c r="E8" s="53">
        <v>3</v>
      </c>
      <c r="F8" s="53">
        <f t="shared" ref="F8:F71" si="0">IF(D8="","",IF(D8="Yes",E8,IF(D8="Tending to Yes",E8,IF(D8="Tending to No",E8,IF(D8="No",E8,)))))</f>
        <v>3</v>
      </c>
      <c r="G8" s="53">
        <f>IF(E8="NA","NA",IF(D8="Yes",E8,IF(D8="Tending to yes",E8/2,IF(D8="Tending to No",F8/4,IF(D8="No",0,IF(D8="","Input Status"))))))</f>
        <v>3</v>
      </c>
      <c r="H8" s="134">
        <f>IF(SUMPRODUCT(F8:F25)=0,"NA",(SUMPRODUCT(G8:G25)/SUMPRODUCT(F8:F25)))</f>
        <v>0.52941176470588236</v>
      </c>
      <c r="I8" s="156" t="str">
        <f>IF(H8=" "," ",IF(H8=FQ8,"Not Applicable",IF(H8&gt;89%,"EXCELLENT",IF(H8&lt;60%,"BELOW AVERAGE",IF(H8&lt;75%,"AVERAGE",IF(H8&gt;74%,"GOOD"))))))</f>
        <v>BELOW AVERAGE</v>
      </c>
      <c r="Y8" t="s">
        <v>79</v>
      </c>
      <c r="Z8" t="s">
        <v>80</v>
      </c>
      <c r="AA8">
        <v>2025</v>
      </c>
    </row>
    <row r="9" spans="1:27" ht="15" customHeight="1" x14ac:dyDescent="0.25">
      <c r="A9" s="153"/>
      <c r="B9" s="35">
        <f>+B8+1</f>
        <v>2</v>
      </c>
      <c r="C9" s="36" t="s">
        <v>105</v>
      </c>
      <c r="D9" s="56" t="s">
        <v>22</v>
      </c>
      <c r="E9" s="16">
        <v>3</v>
      </c>
      <c r="F9" s="16">
        <f t="shared" si="0"/>
        <v>3</v>
      </c>
      <c r="G9" s="16">
        <f>IF(E9="NA","NA",IF(D9="Yes",E9,IF(D9="Tending to yes",E9/2,IF(D9="Tending to No",F9/4,IF(D9="No",0,IF(D9="","Input Status"))))))</f>
        <v>3</v>
      </c>
      <c r="H9" s="135"/>
      <c r="I9" s="157"/>
      <c r="Y9" t="s">
        <v>246</v>
      </c>
      <c r="Z9" t="s">
        <v>81</v>
      </c>
      <c r="AA9">
        <v>2026</v>
      </c>
    </row>
    <row r="10" spans="1:27" ht="15" customHeight="1" x14ac:dyDescent="0.25">
      <c r="A10" s="153"/>
      <c r="B10" s="35">
        <f t="shared" ref="B10:B73" si="1">+B9+1</f>
        <v>3</v>
      </c>
      <c r="C10" s="36" t="s">
        <v>106</v>
      </c>
      <c r="D10" s="56" t="s">
        <v>22</v>
      </c>
      <c r="E10" s="16">
        <v>3</v>
      </c>
      <c r="F10" s="16">
        <f t="shared" si="0"/>
        <v>3</v>
      </c>
      <c r="G10" s="16">
        <f t="shared" ref="G10:G73" si="2">IF(E10="NA","NA",IF(D10="Yes",E10,IF(D10="Tending to yes",E10/2,IF(D10="Tending to No",F10/4,IF(D10="No",0,IF(D10="","Input Status"))))))</f>
        <v>3</v>
      </c>
      <c r="H10" s="135"/>
      <c r="I10" s="157"/>
      <c r="Y10" t="s">
        <v>97</v>
      </c>
      <c r="Z10" t="s">
        <v>82</v>
      </c>
      <c r="AA10">
        <v>2027</v>
      </c>
    </row>
    <row r="11" spans="1:27" ht="15" customHeight="1" x14ac:dyDescent="0.25">
      <c r="A11" s="153"/>
      <c r="B11" s="35">
        <f t="shared" si="1"/>
        <v>4</v>
      </c>
      <c r="C11" s="36" t="s">
        <v>107</v>
      </c>
      <c r="D11" s="35" t="s">
        <v>22</v>
      </c>
      <c r="E11" s="16">
        <v>3</v>
      </c>
      <c r="F11" s="16">
        <f t="shared" si="0"/>
        <v>3</v>
      </c>
      <c r="G11" s="16">
        <f>IF(E11="NA","NA",IF(D11="Yes",E11,IF(D11="Tending to yes",E11/2,IF(D11="Tending to No",F11/4,IF(D11="No",0,IF(D11="","Input Status"))))))</f>
        <v>3</v>
      </c>
      <c r="H11" s="135"/>
      <c r="I11" s="157"/>
      <c r="Y11" t="s">
        <v>104</v>
      </c>
      <c r="Z11" t="s">
        <v>83</v>
      </c>
      <c r="AA11">
        <v>2028</v>
      </c>
    </row>
    <row r="12" spans="1:27" x14ac:dyDescent="0.25">
      <c r="A12" s="153"/>
      <c r="B12" s="35">
        <f t="shared" si="1"/>
        <v>5</v>
      </c>
      <c r="C12" s="36" t="s">
        <v>228</v>
      </c>
      <c r="D12" s="56"/>
      <c r="E12" s="16" t="s">
        <v>77</v>
      </c>
      <c r="F12" s="16" t="str">
        <f t="shared" si="0"/>
        <v/>
      </c>
      <c r="G12" s="16" t="str">
        <f t="shared" ref="G12:G13" si="3">IF(E12="NA","NA",IF(D12="Yes",E12,IF(D12="Tending to yes",E12/2,IF(D12="Tending to No",F12/4,IF(D12="No",0,IF(D12="","Input Status"))))))</f>
        <v>NA</v>
      </c>
      <c r="H12" s="135"/>
      <c r="I12" s="157"/>
      <c r="Y12" t="s">
        <v>102</v>
      </c>
      <c r="Z12" t="s">
        <v>84</v>
      </c>
      <c r="AA12">
        <v>2029</v>
      </c>
    </row>
    <row r="13" spans="1:27" x14ac:dyDescent="0.25">
      <c r="A13" s="153"/>
      <c r="B13" s="35">
        <f t="shared" si="1"/>
        <v>6</v>
      </c>
      <c r="C13" s="36" t="s">
        <v>112</v>
      </c>
      <c r="D13" s="56" t="s">
        <v>22</v>
      </c>
      <c r="E13" s="16">
        <v>3</v>
      </c>
      <c r="F13" s="16">
        <f t="shared" si="0"/>
        <v>3</v>
      </c>
      <c r="G13" s="16">
        <f t="shared" si="3"/>
        <v>3</v>
      </c>
      <c r="H13" s="135"/>
      <c r="I13" s="157"/>
      <c r="Y13" t="s">
        <v>247</v>
      </c>
      <c r="Z13" t="s">
        <v>85</v>
      </c>
      <c r="AA13">
        <v>2030</v>
      </c>
    </row>
    <row r="14" spans="1:27" x14ac:dyDescent="0.25">
      <c r="A14" s="153"/>
      <c r="B14" s="35">
        <f t="shared" si="1"/>
        <v>7</v>
      </c>
      <c r="C14" s="36" t="s">
        <v>117</v>
      </c>
      <c r="D14" s="35" t="s">
        <v>22</v>
      </c>
      <c r="E14" s="16">
        <v>3</v>
      </c>
      <c r="F14" s="16">
        <f t="shared" si="0"/>
        <v>3</v>
      </c>
      <c r="G14" s="16">
        <f t="shared" si="2"/>
        <v>3</v>
      </c>
      <c r="H14" s="135"/>
      <c r="I14" s="157"/>
      <c r="Y14" t="s">
        <v>98</v>
      </c>
      <c r="Z14" t="s">
        <v>86</v>
      </c>
      <c r="AA14">
        <v>2031</v>
      </c>
    </row>
    <row r="15" spans="1:27" x14ac:dyDescent="0.25">
      <c r="A15" s="153"/>
      <c r="B15" s="35">
        <f t="shared" si="1"/>
        <v>8</v>
      </c>
      <c r="C15" s="36" t="s">
        <v>108</v>
      </c>
      <c r="D15" s="56" t="s">
        <v>22</v>
      </c>
      <c r="E15" s="16">
        <v>3</v>
      </c>
      <c r="F15" s="16">
        <f t="shared" si="0"/>
        <v>3</v>
      </c>
      <c r="G15" s="16">
        <f t="shared" si="2"/>
        <v>3</v>
      </c>
      <c r="H15" s="135"/>
      <c r="I15" s="157"/>
      <c r="Y15" t="s">
        <v>248</v>
      </c>
      <c r="Z15" t="s">
        <v>87</v>
      </c>
      <c r="AA15">
        <v>2032</v>
      </c>
    </row>
    <row r="16" spans="1:27" x14ac:dyDescent="0.25">
      <c r="A16" s="153"/>
      <c r="B16" s="35">
        <f t="shared" si="1"/>
        <v>9</v>
      </c>
      <c r="C16" s="100" t="s">
        <v>111</v>
      </c>
      <c r="D16" s="92" t="s">
        <v>21</v>
      </c>
      <c r="E16" s="16">
        <v>3</v>
      </c>
      <c r="F16" s="16">
        <f t="shared" si="0"/>
        <v>3</v>
      </c>
      <c r="G16" s="16">
        <f t="shared" si="2"/>
        <v>0</v>
      </c>
      <c r="H16" s="135"/>
      <c r="I16" s="157"/>
      <c r="Z16" t="s">
        <v>88</v>
      </c>
      <c r="AA16">
        <v>2033</v>
      </c>
    </row>
    <row r="17" spans="1:27" x14ac:dyDescent="0.25">
      <c r="A17" s="153"/>
      <c r="B17" s="35">
        <f t="shared" si="1"/>
        <v>10</v>
      </c>
      <c r="C17" s="99" t="s">
        <v>28</v>
      </c>
      <c r="D17" s="91" t="s">
        <v>19</v>
      </c>
      <c r="E17" s="16">
        <v>3</v>
      </c>
      <c r="F17" s="16">
        <f t="shared" si="0"/>
        <v>3</v>
      </c>
      <c r="G17" s="16">
        <f t="shared" si="2"/>
        <v>1.5</v>
      </c>
      <c r="H17" s="135"/>
      <c r="I17" s="157"/>
      <c r="Z17" t="s">
        <v>89</v>
      </c>
      <c r="AA17">
        <v>2034</v>
      </c>
    </row>
    <row r="18" spans="1:27" ht="15" customHeight="1" x14ac:dyDescent="0.25">
      <c r="A18" s="153"/>
      <c r="B18" s="35">
        <f t="shared" si="1"/>
        <v>11</v>
      </c>
      <c r="C18" s="100" t="s">
        <v>238</v>
      </c>
      <c r="D18" s="92" t="s">
        <v>21</v>
      </c>
      <c r="E18" s="16">
        <v>3</v>
      </c>
      <c r="F18" s="16">
        <f t="shared" si="0"/>
        <v>3</v>
      </c>
      <c r="G18" s="60">
        <f>IF(E18="NA","NA",IF(D18="Yes",E18,IF(D18="Tending to yes",E18/2,IF(D18="Tending to No",F18/4,IF(D18="No",0,IF(D18="","Input Status"))))))</f>
        <v>0</v>
      </c>
      <c r="H18" s="135"/>
      <c r="I18" s="157"/>
      <c r="Z18" t="s">
        <v>250</v>
      </c>
      <c r="AA18">
        <v>2035</v>
      </c>
    </row>
    <row r="19" spans="1:27" ht="15" customHeight="1" x14ac:dyDescent="0.25">
      <c r="A19" s="154"/>
      <c r="B19" s="35">
        <f t="shared" si="1"/>
        <v>12</v>
      </c>
      <c r="C19" s="100" t="s">
        <v>113</v>
      </c>
      <c r="D19" s="92" t="s">
        <v>21</v>
      </c>
      <c r="E19" s="16">
        <v>3</v>
      </c>
      <c r="F19" s="16">
        <f t="shared" si="0"/>
        <v>3</v>
      </c>
      <c r="G19" s="16">
        <f t="shared" ref="G19" si="4">IF(E19="NA","NA",IF(D19="Yes",E19,IF(D19="Tending to yes",E19/2,IF(D19="Tending to No",F19/4,IF(D19="No",0,IF(D19="","Input Status"))))))</f>
        <v>0</v>
      </c>
      <c r="H19" s="135"/>
      <c r="I19" s="157"/>
      <c r="Z19" t="s">
        <v>251</v>
      </c>
      <c r="AA19">
        <v>2036</v>
      </c>
    </row>
    <row r="20" spans="1:27" x14ac:dyDescent="0.25">
      <c r="A20" s="154"/>
      <c r="B20" s="35">
        <f t="shared" si="1"/>
        <v>13</v>
      </c>
      <c r="C20" s="100" t="s">
        <v>110</v>
      </c>
      <c r="D20" s="92" t="s">
        <v>21</v>
      </c>
      <c r="E20" s="16">
        <v>3</v>
      </c>
      <c r="F20" s="16">
        <f t="shared" si="0"/>
        <v>3</v>
      </c>
      <c r="G20" s="16">
        <f t="shared" si="2"/>
        <v>0</v>
      </c>
      <c r="H20" s="135"/>
      <c r="I20" s="157"/>
      <c r="AA20">
        <v>2037</v>
      </c>
    </row>
    <row r="21" spans="1:27" x14ac:dyDescent="0.25">
      <c r="A21" s="154"/>
      <c r="B21" s="35">
        <f t="shared" si="1"/>
        <v>14</v>
      </c>
      <c r="C21" s="99" t="s">
        <v>114</v>
      </c>
      <c r="D21" s="91" t="s">
        <v>21</v>
      </c>
      <c r="E21" s="16">
        <v>3</v>
      </c>
      <c r="F21" s="16">
        <f t="shared" si="0"/>
        <v>3</v>
      </c>
      <c r="G21" s="16">
        <f t="shared" si="2"/>
        <v>0</v>
      </c>
      <c r="H21" s="135"/>
      <c r="I21" s="157"/>
      <c r="AA21">
        <v>2038</v>
      </c>
    </row>
    <row r="22" spans="1:27" x14ac:dyDescent="0.25">
      <c r="A22" s="154"/>
      <c r="B22" s="35">
        <f t="shared" si="1"/>
        <v>15</v>
      </c>
      <c r="C22" s="36" t="s">
        <v>118</v>
      </c>
      <c r="D22" s="56" t="s">
        <v>22</v>
      </c>
      <c r="E22" s="16">
        <v>3</v>
      </c>
      <c r="F22" s="16">
        <f t="shared" si="0"/>
        <v>3</v>
      </c>
      <c r="G22" s="16">
        <f t="shared" si="2"/>
        <v>3</v>
      </c>
      <c r="H22" s="135"/>
      <c r="I22" s="157"/>
      <c r="AA22">
        <v>2039</v>
      </c>
    </row>
    <row r="23" spans="1:27" x14ac:dyDescent="0.25">
      <c r="A23" s="154"/>
      <c r="B23" s="35">
        <f t="shared" si="1"/>
        <v>16</v>
      </c>
      <c r="C23" s="101" t="s">
        <v>109</v>
      </c>
      <c r="D23" s="92" t="s">
        <v>21</v>
      </c>
      <c r="E23" s="16">
        <v>3</v>
      </c>
      <c r="F23" s="16">
        <f t="shared" si="0"/>
        <v>3</v>
      </c>
      <c r="G23" s="16">
        <f t="shared" si="2"/>
        <v>0</v>
      </c>
      <c r="H23" s="135"/>
      <c r="I23" s="157"/>
      <c r="AA23">
        <v>2040</v>
      </c>
    </row>
    <row r="24" spans="1:27" ht="15" customHeight="1" x14ac:dyDescent="0.25">
      <c r="A24" s="154"/>
      <c r="B24" s="35">
        <f t="shared" si="1"/>
        <v>17</v>
      </c>
      <c r="C24" s="100" t="s">
        <v>116</v>
      </c>
      <c r="D24" s="92" t="s">
        <v>21</v>
      </c>
      <c r="E24" s="16">
        <v>3</v>
      </c>
      <c r="F24" s="16">
        <f t="shared" si="0"/>
        <v>3</v>
      </c>
      <c r="G24" s="16">
        <f t="shared" si="2"/>
        <v>0</v>
      </c>
      <c r="H24" s="135"/>
      <c r="I24" s="157"/>
    </row>
    <row r="25" spans="1:27" ht="18" customHeight="1" thickBot="1" x14ac:dyDescent="0.3">
      <c r="A25" s="155"/>
      <c r="B25" s="37">
        <f t="shared" si="1"/>
        <v>18</v>
      </c>
      <c r="C25" s="102" t="s">
        <v>115</v>
      </c>
      <c r="D25" s="91" t="s">
        <v>19</v>
      </c>
      <c r="E25" s="60">
        <v>3</v>
      </c>
      <c r="F25" s="55">
        <f t="shared" si="0"/>
        <v>3</v>
      </c>
      <c r="G25" s="21">
        <f t="shared" si="2"/>
        <v>1.5</v>
      </c>
      <c r="H25" s="136"/>
      <c r="I25" s="158"/>
    </row>
    <row r="26" spans="1:27" ht="15" customHeight="1" x14ac:dyDescent="0.25">
      <c r="A26" s="141" t="s">
        <v>9</v>
      </c>
      <c r="B26" s="38">
        <f t="shared" si="1"/>
        <v>19</v>
      </c>
      <c r="C26" s="103" t="s">
        <v>125</v>
      </c>
      <c r="D26" s="91" t="s">
        <v>19</v>
      </c>
      <c r="E26" s="53">
        <v>4</v>
      </c>
      <c r="F26" s="53">
        <f t="shared" si="0"/>
        <v>4</v>
      </c>
      <c r="G26" s="61">
        <f t="shared" si="2"/>
        <v>2</v>
      </c>
      <c r="H26" s="134">
        <f>IF(SUMPRODUCT(F26:F41)=0,"NA",(SUMPRODUCT(G26:G41)/SUMPRODUCT(F26:F41)))</f>
        <v>0.45</v>
      </c>
      <c r="I26" s="137" t="str">
        <f>IF(H26="NA","NA",IF(H26&gt;90%,"EXCELLENT",IF(H26&lt;60%,"BELOW AVERAGE",IF(H26&lt;75%,"AVERAGE",IF(H26&gt;74%,"GOOD")))))</f>
        <v>BELOW AVERAGE</v>
      </c>
    </row>
    <row r="27" spans="1:27" x14ac:dyDescent="0.25">
      <c r="A27" s="142"/>
      <c r="B27" s="35">
        <f t="shared" si="1"/>
        <v>20</v>
      </c>
      <c r="C27" s="99" t="s">
        <v>50</v>
      </c>
      <c r="D27" s="91" t="s">
        <v>19</v>
      </c>
      <c r="E27" s="16">
        <v>4</v>
      </c>
      <c r="F27" s="16">
        <f t="shared" si="0"/>
        <v>4</v>
      </c>
      <c r="G27" s="16">
        <f t="shared" si="2"/>
        <v>2</v>
      </c>
      <c r="H27" s="135"/>
      <c r="I27" s="138"/>
    </row>
    <row r="28" spans="1:27" x14ac:dyDescent="0.25">
      <c r="A28" s="142"/>
      <c r="B28" s="35">
        <f t="shared" si="1"/>
        <v>21</v>
      </c>
      <c r="C28" s="99" t="s">
        <v>120</v>
      </c>
      <c r="D28" s="91" t="s">
        <v>19</v>
      </c>
      <c r="E28" s="16">
        <v>4</v>
      </c>
      <c r="F28" s="16">
        <f t="shared" si="0"/>
        <v>4</v>
      </c>
      <c r="G28" s="16">
        <f t="shared" si="2"/>
        <v>2</v>
      </c>
      <c r="H28" s="135"/>
      <c r="I28" s="138"/>
    </row>
    <row r="29" spans="1:27" x14ac:dyDescent="0.25">
      <c r="A29" s="142"/>
      <c r="B29" s="35">
        <f t="shared" si="1"/>
        <v>22</v>
      </c>
      <c r="C29" s="100" t="s">
        <v>127</v>
      </c>
      <c r="D29" s="92" t="s">
        <v>21</v>
      </c>
      <c r="E29" s="16">
        <v>4</v>
      </c>
      <c r="F29" s="16">
        <f t="shared" si="0"/>
        <v>4</v>
      </c>
      <c r="G29" s="16">
        <f t="shared" si="2"/>
        <v>0</v>
      </c>
      <c r="H29" s="135"/>
      <c r="I29" s="138"/>
    </row>
    <row r="30" spans="1:27" x14ac:dyDescent="0.25">
      <c r="A30" s="142"/>
      <c r="B30" s="35">
        <f t="shared" si="1"/>
        <v>23</v>
      </c>
      <c r="C30" s="36" t="s">
        <v>129</v>
      </c>
      <c r="D30" s="56" t="s">
        <v>22</v>
      </c>
      <c r="E30" s="16">
        <v>4</v>
      </c>
      <c r="F30" s="16">
        <f t="shared" si="0"/>
        <v>4</v>
      </c>
      <c r="G30" s="16">
        <f t="shared" si="2"/>
        <v>4</v>
      </c>
      <c r="H30" s="135"/>
      <c r="I30" s="138"/>
    </row>
    <row r="31" spans="1:27" x14ac:dyDescent="0.25">
      <c r="A31" s="142"/>
      <c r="B31" s="35">
        <f t="shared" si="1"/>
        <v>24</v>
      </c>
      <c r="C31" s="99" t="s">
        <v>119</v>
      </c>
      <c r="D31" s="91" t="s">
        <v>19</v>
      </c>
      <c r="E31" s="16">
        <v>4</v>
      </c>
      <c r="F31" s="16">
        <f t="shared" si="0"/>
        <v>4</v>
      </c>
      <c r="G31" s="16">
        <f t="shared" si="2"/>
        <v>2</v>
      </c>
      <c r="H31" s="135"/>
      <c r="I31" s="138"/>
    </row>
    <row r="32" spans="1:27" x14ac:dyDescent="0.25">
      <c r="A32" s="142"/>
      <c r="B32" s="35">
        <f t="shared" si="1"/>
        <v>25</v>
      </c>
      <c r="C32" s="100" t="s">
        <v>124</v>
      </c>
      <c r="D32" s="92" t="s">
        <v>21</v>
      </c>
      <c r="E32" s="56">
        <v>4</v>
      </c>
      <c r="F32" s="16">
        <f t="shared" si="0"/>
        <v>4</v>
      </c>
      <c r="G32" s="16">
        <f t="shared" si="2"/>
        <v>0</v>
      </c>
      <c r="H32" s="135"/>
      <c r="I32" s="138"/>
    </row>
    <row r="33" spans="1:9" x14ac:dyDescent="0.25">
      <c r="A33" s="142"/>
      <c r="B33" s="35">
        <f t="shared" si="1"/>
        <v>26</v>
      </c>
      <c r="C33" s="99" t="s">
        <v>121</v>
      </c>
      <c r="D33" s="91" t="s">
        <v>19</v>
      </c>
      <c r="E33" s="16">
        <v>4</v>
      </c>
      <c r="F33" s="16">
        <f t="shared" si="0"/>
        <v>4</v>
      </c>
      <c r="G33" s="16">
        <f t="shared" si="2"/>
        <v>2</v>
      </c>
      <c r="H33" s="135"/>
      <c r="I33" s="138"/>
    </row>
    <row r="34" spans="1:9" x14ac:dyDescent="0.25">
      <c r="A34" s="142"/>
      <c r="B34" s="35">
        <f t="shared" si="1"/>
        <v>27</v>
      </c>
      <c r="C34" s="36" t="s">
        <v>56</v>
      </c>
      <c r="D34" s="56"/>
      <c r="E34" s="16" t="s">
        <v>77</v>
      </c>
      <c r="F34" s="16" t="str">
        <f t="shared" si="0"/>
        <v/>
      </c>
      <c r="G34" s="16" t="str">
        <f t="shared" si="2"/>
        <v>NA</v>
      </c>
      <c r="H34" s="135"/>
      <c r="I34" s="138"/>
    </row>
    <row r="35" spans="1:9" x14ac:dyDescent="0.25">
      <c r="A35" s="142"/>
      <c r="B35" s="35">
        <f t="shared" si="1"/>
        <v>28</v>
      </c>
      <c r="C35" s="100" t="s">
        <v>122</v>
      </c>
      <c r="D35" s="112" t="s">
        <v>21</v>
      </c>
      <c r="E35" s="16">
        <v>4</v>
      </c>
      <c r="F35" s="16">
        <f t="shared" si="0"/>
        <v>4</v>
      </c>
      <c r="G35" s="16">
        <f t="shared" si="2"/>
        <v>0</v>
      </c>
      <c r="H35" s="135"/>
      <c r="I35" s="138"/>
    </row>
    <row r="36" spans="1:9" x14ac:dyDescent="0.25">
      <c r="A36" s="142"/>
      <c r="B36" s="35">
        <f t="shared" si="1"/>
        <v>29</v>
      </c>
      <c r="C36" s="36" t="s">
        <v>123</v>
      </c>
      <c r="D36" s="56" t="s">
        <v>22</v>
      </c>
      <c r="E36" s="16">
        <v>4</v>
      </c>
      <c r="F36" s="16">
        <f t="shared" si="0"/>
        <v>4</v>
      </c>
      <c r="G36" s="16">
        <f t="shared" si="2"/>
        <v>4</v>
      </c>
      <c r="H36" s="135"/>
      <c r="I36" s="138"/>
    </row>
    <row r="37" spans="1:9" x14ac:dyDescent="0.25">
      <c r="A37" s="142"/>
      <c r="B37" s="35">
        <f t="shared" si="1"/>
        <v>30</v>
      </c>
      <c r="C37" s="100" t="s">
        <v>136</v>
      </c>
      <c r="D37" s="92" t="s">
        <v>21</v>
      </c>
      <c r="E37" s="16">
        <v>4</v>
      </c>
      <c r="F37" s="16">
        <f t="shared" si="0"/>
        <v>4</v>
      </c>
      <c r="G37" s="16">
        <f t="shared" si="2"/>
        <v>0</v>
      </c>
      <c r="H37" s="135"/>
      <c r="I37" s="138"/>
    </row>
    <row r="38" spans="1:9" x14ac:dyDescent="0.25">
      <c r="A38" s="142"/>
      <c r="B38" s="35">
        <f t="shared" si="1"/>
        <v>31</v>
      </c>
      <c r="C38" s="36" t="s">
        <v>126</v>
      </c>
      <c r="D38" s="56" t="s">
        <v>22</v>
      </c>
      <c r="E38" s="16">
        <v>4</v>
      </c>
      <c r="F38" s="16">
        <f t="shared" si="0"/>
        <v>4</v>
      </c>
      <c r="G38" s="16">
        <f t="shared" si="2"/>
        <v>4</v>
      </c>
      <c r="H38" s="135"/>
      <c r="I38" s="138"/>
    </row>
    <row r="39" spans="1:9" x14ac:dyDescent="0.25">
      <c r="A39" s="142"/>
      <c r="B39" s="35">
        <f t="shared" si="1"/>
        <v>32</v>
      </c>
      <c r="C39" s="99" t="s">
        <v>128</v>
      </c>
      <c r="D39" s="91" t="s">
        <v>19</v>
      </c>
      <c r="E39" s="16">
        <v>4</v>
      </c>
      <c r="F39" s="16">
        <f t="shared" si="0"/>
        <v>4</v>
      </c>
      <c r="G39" s="16">
        <f t="shared" si="2"/>
        <v>2</v>
      </c>
      <c r="H39" s="135"/>
      <c r="I39" s="138"/>
    </row>
    <row r="40" spans="1:9" x14ac:dyDescent="0.25">
      <c r="A40" s="142"/>
      <c r="B40" s="35">
        <f t="shared" si="1"/>
        <v>33</v>
      </c>
      <c r="C40" s="99" t="s">
        <v>55</v>
      </c>
      <c r="D40" s="91" t="s">
        <v>20</v>
      </c>
      <c r="E40" s="16">
        <v>4</v>
      </c>
      <c r="F40" s="16">
        <f t="shared" si="0"/>
        <v>4</v>
      </c>
      <c r="G40" s="16">
        <f t="shared" si="2"/>
        <v>1</v>
      </c>
      <c r="H40" s="135"/>
      <c r="I40" s="138"/>
    </row>
    <row r="41" spans="1:9" ht="15.75" thickBot="1" x14ac:dyDescent="0.3">
      <c r="A41" s="143"/>
      <c r="B41" s="37">
        <f t="shared" si="1"/>
        <v>34</v>
      </c>
      <c r="C41" s="104" t="s">
        <v>53</v>
      </c>
      <c r="D41" s="91" t="s">
        <v>19</v>
      </c>
      <c r="E41" s="16">
        <v>4</v>
      </c>
      <c r="F41" s="55">
        <f t="shared" si="0"/>
        <v>4</v>
      </c>
      <c r="G41" s="21">
        <f t="shared" si="2"/>
        <v>2</v>
      </c>
      <c r="H41" s="136"/>
      <c r="I41" s="140"/>
    </row>
    <row r="42" spans="1:9" x14ac:dyDescent="0.25">
      <c r="A42" s="129" t="s">
        <v>67</v>
      </c>
      <c r="B42" s="38">
        <f t="shared" si="1"/>
        <v>35</v>
      </c>
      <c r="C42" s="103" t="s">
        <v>130</v>
      </c>
      <c r="D42" s="91" t="s">
        <v>19</v>
      </c>
      <c r="E42" s="53">
        <v>5</v>
      </c>
      <c r="F42" s="53">
        <f t="shared" si="0"/>
        <v>5</v>
      </c>
      <c r="G42" s="61">
        <f t="shared" si="2"/>
        <v>2.5</v>
      </c>
      <c r="H42" s="134">
        <f>IF(SUMPRODUCT(F42:F48)=0,"NA",(SUMPRODUCT(G42:G48)/SUMPRODUCT(F42:F48)))</f>
        <v>0.7321428571428571</v>
      </c>
      <c r="I42" s="137" t="str">
        <f>IF(H42="NA","NA",IF(H42&gt;90%,"EXCELLENT",IF(H42&lt;60%,"BELOW AVERAGE",IF(H42&lt;75%,"AVERAGE",IF(H42&gt;74%,"GOOD")))))</f>
        <v>AVERAGE</v>
      </c>
    </row>
    <row r="43" spans="1:9" x14ac:dyDescent="0.25">
      <c r="A43" s="131"/>
      <c r="B43" s="35">
        <f t="shared" si="1"/>
        <v>36</v>
      </c>
      <c r="C43" s="99" t="s">
        <v>131</v>
      </c>
      <c r="D43" s="91" t="s">
        <v>19</v>
      </c>
      <c r="E43" s="16">
        <v>5</v>
      </c>
      <c r="F43" s="16">
        <f t="shared" si="0"/>
        <v>5</v>
      </c>
      <c r="G43" s="16">
        <f t="shared" si="2"/>
        <v>2.5</v>
      </c>
      <c r="H43" s="135"/>
      <c r="I43" s="138"/>
    </row>
    <row r="44" spans="1:9" x14ac:dyDescent="0.25">
      <c r="A44" s="131"/>
      <c r="B44" s="35">
        <f t="shared" si="1"/>
        <v>37</v>
      </c>
      <c r="C44" s="36" t="s">
        <v>134</v>
      </c>
      <c r="D44" s="56" t="s">
        <v>22</v>
      </c>
      <c r="E44" s="16">
        <v>5</v>
      </c>
      <c r="F44" s="16">
        <f t="shared" si="0"/>
        <v>5</v>
      </c>
      <c r="G44" s="16">
        <f t="shared" si="2"/>
        <v>5</v>
      </c>
      <c r="H44" s="135"/>
      <c r="I44" s="138"/>
    </row>
    <row r="45" spans="1:9" x14ac:dyDescent="0.25">
      <c r="A45" s="131"/>
      <c r="B45" s="35">
        <f t="shared" si="1"/>
        <v>38</v>
      </c>
      <c r="C45" s="36" t="s">
        <v>132</v>
      </c>
      <c r="D45" s="56" t="s">
        <v>22</v>
      </c>
      <c r="E45" s="16">
        <v>5</v>
      </c>
      <c r="F45" s="16">
        <f t="shared" si="0"/>
        <v>5</v>
      </c>
      <c r="G45" s="16">
        <f t="shared" si="2"/>
        <v>5</v>
      </c>
      <c r="H45" s="135"/>
      <c r="I45" s="138"/>
    </row>
    <row r="46" spans="1:9" x14ac:dyDescent="0.25">
      <c r="A46" s="132"/>
      <c r="B46" s="35">
        <f t="shared" si="1"/>
        <v>39</v>
      </c>
      <c r="C46" s="99" t="s">
        <v>133</v>
      </c>
      <c r="D46" s="91" t="s">
        <v>19</v>
      </c>
      <c r="E46" s="16">
        <v>5</v>
      </c>
      <c r="F46" s="16">
        <f t="shared" si="0"/>
        <v>5</v>
      </c>
      <c r="G46" s="16">
        <f t="shared" si="2"/>
        <v>2.5</v>
      </c>
      <c r="H46" s="135"/>
      <c r="I46" s="138"/>
    </row>
    <row r="47" spans="1:9" x14ac:dyDescent="0.25">
      <c r="A47" s="132"/>
      <c r="B47" s="35">
        <f t="shared" si="1"/>
        <v>40</v>
      </c>
      <c r="C47" s="99" t="s">
        <v>135</v>
      </c>
      <c r="D47" s="91" t="s">
        <v>19</v>
      </c>
      <c r="E47" s="16" t="s">
        <v>77</v>
      </c>
      <c r="F47" s="16" t="str">
        <f t="shared" si="0"/>
        <v>NA</v>
      </c>
      <c r="G47" s="16" t="str">
        <f t="shared" si="2"/>
        <v>NA</v>
      </c>
      <c r="H47" s="135"/>
      <c r="I47" s="138"/>
    </row>
    <row r="48" spans="1:9" ht="15.75" thickBot="1" x14ac:dyDescent="0.3">
      <c r="A48" s="132"/>
      <c r="B48" s="37">
        <f t="shared" si="1"/>
        <v>41</v>
      </c>
      <c r="C48" s="36" t="s">
        <v>54</v>
      </c>
      <c r="D48" s="56" t="s">
        <v>22</v>
      </c>
      <c r="E48" s="16">
        <v>3</v>
      </c>
      <c r="F48" s="16">
        <f t="shared" si="0"/>
        <v>3</v>
      </c>
      <c r="G48" s="21">
        <f t="shared" si="2"/>
        <v>3</v>
      </c>
      <c r="H48" s="135"/>
      <c r="I48" s="138"/>
    </row>
    <row r="49" spans="1:9" ht="15" customHeight="1" x14ac:dyDescent="0.25">
      <c r="A49" s="141" t="s">
        <v>153</v>
      </c>
      <c r="B49" s="38">
        <f t="shared" si="1"/>
        <v>42</v>
      </c>
      <c r="C49" s="103" t="s">
        <v>137</v>
      </c>
      <c r="D49" s="91" t="s">
        <v>19</v>
      </c>
      <c r="E49" s="53">
        <v>5</v>
      </c>
      <c r="F49" s="53">
        <f t="shared" si="0"/>
        <v>5</v>
      </c>
      <c r="G49" s="61">
        <f t="shared" si="2"/>
        <v>2.5</v>
      </c>
      <c r="H49" s="134">
        <f>IF(SUMPRODUCT(F49:F65)=0,"NA",(SUMPRODUCT(G49:G65)/SUMPRODUCT(F49:F65)))</f>
        <v>0.63888888888888884</v>
      </c>
      <c r="I49" s="137" t="str">
        <f>IF(H49="NA","NA",IF(H49&gt;90%,"EXCELLENT",IF(H49&lt;60%,"BELOW AVERAGE",IF(H49&lt;75%,"AVERAGE",IF(H49&gt;74%,"GOOD")))))</f>
        <v>AVERAGE</v>
      </c>
    </row>
    <row r="50" spans="1:9" x14ac:dyDescent="0.25">
      <c r="A50" s="142"/>
      <c r="B50" s="35">
        <f t="shared" si="1"/>
        <v>43</v>
      </c>
      <c r="C50" s="36" t="s">
        <v>138</v>
      </c>
      <c r="D50" s="56" t="s">
        <v>22</v>
      </c>
      <c r="E50" s="16">
        <v>5</v>
      </c>
      <c r="F50" s="16">
        <f t="shared" si="0"/>
        <v>5</v>
      </c>
      <c r="G50" s="16">
        <f t="shared" si="2"/>
        <v>5</v>
      </c>
      <c r="H50" s="135"/>
      <c r="I50" s="138"/>
    </row>
    <row r="51" spans="1:9" x14ac:dyDescent="0.25">
      <c r="A51" s="142"/>
      <c r="B51" s="35">
        <f t="shared" si="1"/>
        <v>44</v>
      </c>
      <c r="C51" s="99" t="s">
        <v>139</v>
      </c>
      <c r="D51" s="91" t="s">
        <v>19</v>
      </c>
      <c r="E51" s="16">
        <v>5</v>
      </c>
      <c r="F51" s="16">
        <f t="shared" si="0"/>
        <v>5</v>
      </c>
      <c r="G51" s="16">
        <f t="shared" si="2"/>
        <v>2.5</v>
      </c>
      <c r="H51" s="135"/>
      <c r="I51" s="138"/>
    </row>
    <row r="52" spans="1:9" x14ac:dyDescent="0.25">
      <c r="A52" s="142"/>
      <c r="B52" s="35">
        <f t="shared" si="1"/>
        <v>45</v>
      </c>
      <c r="C52" s="99" t="s">
        <v>140</v>
      </c>
      <c r="D52" s="91" t="s">
        <v>19</v>
      </c>
      <c r="E52" s="16">
        <v>5</v>
      </c>
      <c r="F52" s="16">
        <f t="shared" si="0"/>
        <v>5</v>
      </c>
      <c r="G52" s="16">
        <f t="shared" si="2"/>
        <v>2.5</v>
      </c>
      <c r="H52" s="135"/>
      <c r="I52" s="138"/>
    </row>
    <row r="53" spans="1:9" x14ac:dyDescent="0.25">
      <c r="A53" s="142"/>
      <c r="B53" s="35">
        <f t="shared" si="1"/>
        <v>46</v>
      </c>
      <c r="C53" s="36" t="s">
        <v>141</v>
      </c>
      <c r="D53" s="56" t="s">
        <v>22</v>
      </c>
      <c r="E53" s="16">
        <v>5</v>
      </c>
      <c r="F53" s="16">
        <f t="shared" si="0"/>
        <v>5</v>
      </c>
      <c r="G53" s="16">
        <f t="shared" si="2"/>
        <v>5</v>
      </c>
      <c r="H53" s="135"/>
      <c r="I53" s="138"/>
    </row>
    <row r="54" spans="1:9" x14ac:dyDescent="0.25">
      <c r="A54" s="142"/>
      <c r="B54" s="35">
        <f t="shared" si="1"/>
        <v>47</v>
      </c>
      <c r="C54" s="99" t="s">
        <v>142</v>
      </c>
      <c r="D54" s="91" t="s">
        <v>19</v>
      </c>
      <c r="E54" s="16">
        <v>5</v>
      </c>
      <c r="F54" s="16">
        <f t="shared" si="0"/>
        <v>5</v>
      </c>
      <c r="G54" s="16">
        <f t="shared" si="2"/>
        <v>2.5</v>
      </c>
      <c r="H54" s="135"/>
      <c r="I54" s="138"/>
    </row>
    <row r="55" spans="1:9" x14ac:dyDescent="0.25">
      <c r="A55" s="142"/>
      <c r="B55" s="35">
        <f t="shared" si="1"/>
        <v>48</v>
      </c>
      <c r="C55" s="99" t="s">
        <v>143</v>
      </c>
      <c r="D55" s="91" t="s">
        <v>19</v>
      </c>
      <c r="E55" s="16">
        <v>5</v>
      </c>
      <c r="F55" s="16">
        <f t="shared" si="0"/>
        <v>5</v>
      </c>
      <c r="G55" s="16">
        <f t="shared" si="2"/>
        <v>2.5</v>
      </c>
      <c r="H55" s="135"/>
      <c r="I55" s="138"/>
    </row>
    <row r="56" spans="1:9" x14ac:dyDescent="0.25">
      <c r="A56" s="142"/>
      <c r="B56" s="35">
        <f t="shared" si="1"/>
        <v>49</v>
      </c>
      <c r="C56" s="36" t="s">
        <v>144</v>
      </c>
      <c r="D56" s="56"/>
      <c r="E56" s="16" t="s">
        <v>77</v>
      </c>
      <c r="F56" s="16" t="str">
        <f t="shared" si="0"/>
        <v/>
      </c>
      <c r="G56" s="16" t="str">
        <f t="shared" si="2"/>
        <v>NA</v>
      </c>
      <c r="H56" s="135"/>
      <c r="I56" s="138"/>
    </row>
    <row r="57" spans="1:9" x14ac:dyDescent="0.25">
      <c r="A57" s="142"/>
      <c r="B57" s="35">
        <f t="shared" si="1"/>
        <v>50</v>
      </c>
      <c r="C57" s="36" t="s">
        <v>145</v>
      </c>
      <c r="D57" s="56"/>
      <c r="E57" s="16" t="s">
        <v>77</v>
      </c>
      <c r="F57" s="16" t="str">
        <f t="shared" si="0"/>
        <v/>
      </c>
      <c r="G57" s="16" t="str">
        <f t="shared" si="2"/>
        <v>NA</v>
      </c>
      <c r="H57" s="135"/>
      <c r="I57" s="138"/>
    </row>
    <row r="58" spans="1:9" x14ac:dyDescent="0.25">
      <c r="A58" s="142"/>
      <c r="B58" s="35">
        <f t="shared" si="1"/>
        <v>51</v>
      </c>
      <c r="C58" s="36" t="s">
        <v>146</v>
      </c>
      <c r="D58" s="56"/>
      <c r="E58" s="16" t="s">
        <v>77</v>
      </c>
      <c r="F58" s="16" t="str">
        <f t="shared" si="0"/>
        <v/>
      </c>
      <c r="G58" s="16" t="str">
        <f t="shared" si="2"/>
        <v>NA</v>
      </c>
      <c r="H58" s="135"/>
      <c r="I58" s="138"/>
    </row>
    <row r="59" spans="1:9" x14ac:dyDescent="0.25">
      <c r="A59" s="142"/>
      <c r="B59" s="35">
        <f t="shared" si="1"/>
        <v>52</v>
      </c>
      <c r="C59" s="36" t="s">
        <v>249</v>
      </c>
      <c r="D59" s="56" t="s">
        <v>22</v>
      </c>
      <c r="E59" s="16">
        <v>5</v>
      </c>
      <c r="F59" s="16">
        <f t="shared" si="0"/>
        <v>5</v>
      </c>
      <c r="G59" s="16">
        <f t="shared" si="2"/>
        <v>5</v>
      </c>
      <c r="H59" s="135"/>
      <c r="I59" s="138"/>
    </row>
    <row r="60" spans="1:9" x14ac:dyDescent="0.25">
      <c r="A60" s="142"/>
      <c r="B60" s="35">
        <f t="shared" si="1"/>
        <v>53</v>
      </c>
      <c r="C60" s="36" t="s">
        <v>149</v>
      </c>
      <c r="D60" s="56"/>
      <c r="E60" s="16" t="s">
        <v>77</v>
      </c>
      <c r="F60" s="16" t="str">
        <f t="shared" si="0"/>
        <v/>
      </c>
      <c r="G60" s="16" t="str">
        <f t="shared" si="2"/>
        <v>NA</v>
      </c>
      <c r="H60" s="135"/>
      <c r="I60" s="138"/>
    </row>
    <row r="61" spans="1:9" x14ac:dyDescent="0.25">
      <c r="A61" s="142"/>
      <c r="B61" s="35">
        <f t="shared" si="1"/>
        <v>54</v>
      </c>
      <c r="C61" s="36" t="s">
        <v>148</v>
      </c>
      <c r="D61" s="56"/>
      <c r="E61" s="16" t="s">
        <v>77</v>
      </c>
      <c r="F61" s="16" t="str">
        <f t="shared" si="0"/>
        <v/>
      </c>
      <c r="G61" s="16" t="str">
        <f t="shared" si="2"/>
        <v>NA</v>
      </c>
      <c r="H61" s="135"/>
      <c r="I61" s="138"/>
    </row>
    <row r="62" spans="1:9" ht="15.75" thickBot="1" x14ac:dyDescent="0.3">
      <c r="A62" s="143"/>
      <c r="B62" s="35">
        <f t="shared" si="1"/>
        <v>55</v>
      </c>
      <c r="C62" s="36" t="s">
        <v>147</v>
      </c>
      <c r="D62" s="56"/>
      <c r="E62" s="16" t="s">
        <v>77</v>
      </c>
      <c r="F62" s="16" t="str">
        <f t="shared" si="0"/>
        <v/>
      </c>
      <c r="G62" s="16" t="str">
        <f t="shared" si="2"/>
        <v>NA</v>
      </c>
      <c r="H62" s="135"/>
      <c r="I62" s="138"/>
    </row>
    <row r="63" spans="1:9" x14ac:dyDescent="0.25">
      <c r="A63" s="141"/>
      <c r="B63" s="35">
        <f t="shared" si="1"/>
        <v>56</v>
      </c>
      <c r="C63" s="105" t="s">
        <v>150</v>
      </c>
      <c r="D63" s="93" t="s">
        <v>20</v>
      </c>
      <c r="E63" s="16">
        <v>5</v>
      </c>
      <c r="F63" s="16">
        <f t="shared" si="0"/>
        <v>5</v>
      </c>
      <c r="G63" s="16">
        <f t="shared" si="2"/>
        <v>1.25</v>
      </c>
      <c r="H63" s="135"/>
      <c r="I63" s="138"/>
    </row>
    <row r="64" spans="1:9" x14ac:dyDescent="0.25">
      <c r="A64" s="142"/>
      <c r="B64" s="35">
        <f t="shared" si="1"/>
        <v>57</v>
      </c>
      <c r="C64" s="36" t="s">
        <v>152</v>
      </c>
      <c r="D64" s="56"/>
      <c r="E64" s="16" t="s">
        <v>77</v>
      </c>
      <c r="F64" s="16" t="str">
        <f t="shared" si="0"/>
        <v/>
      </c>
      <c r="G64" s="16" t="str">
        <f t="shared" si="2"/>
        <v>NA</v>
      </c>
      <c r="H64" s="135"/>
      <c r="I64" s="138"/>
    </row>
    <row r="65" spans="1:9" ht="15.75" thickBot="1" x14ac:dyDescent="0.3">
      <c r="A65" s="142"/>
      <c r="B65" s="37">
        <f t="shared" si="1"/>
        <v>58</v>
      </c>
      <c r="C65" s="40" t="s">
        <v>151</v>
      </c>
      <c r="D65" s="54"/>
      <c r="E65" s="60" t="s">
        <v>77</v>
      </c>
      <c r="F65" s="55" t="str">
        <f t="shared" si="0"/>
        <v/>
      </c>
      <c r="G65" s="21" t="str">
        <f t="shared" si="2"/>
        <v>NA</v>
      </c>
      <c r="H65" s="136"/>
      <c r="I65" s="140"/>
    </row>
    <row r="66" spans="1:9" ht="15" customHeight="1" x14ac:dyDescent="0.25">
      <c r="A66" s="141" t="s">
        <v>11</v>
      </c>
      <c r="B66" s="38">
        <f t="shared" si="1"/>
        <v>59</v>
      </c>
      <c r="C66" s="39" t="s">
        <v>31</v>
      </c>
      <c r="D66" s="52" t="s">
        <v>22</v>
      </c>
      <c r="E66" s="53">
        <v>4</v>
      </c>
      <c r="F66" s="53">
        <f t="shared" si="0"/>
        <v>4</v>
      </c>
      <c r="G66" s="61">
        <f t="shared" si="2"/>
        <v>4</v>
      </c>
      <c r="H66" s="134">
        <f>IF(SUMPRODUCT(F66:F83)=0,"NA",(SUMPRODUCT(G66:G83)/SUMPRODUCT(F66:F83)))</f>
        <v>0.63888888888888884</v>
      </c>
      <c r="I66" s="137" t="str">
        <f>IF(H66="NA","NA",IF(H66&gt;90%,"EXCELLENT",IF(H66&lt;60%,"BELOW AVERAGE",IF(H66&lt;75%,"AVERAGE",IF(H66&gt;74%,"GOOD")))))</f>
        <v>AVERAGE</v>
      </c>
    </row>
    <row r="67" spans="1:9" x14ac:dyDescent="0.25">
      <c r="A67" s="142"/>
      <c r="B67" s="35">
        <f t="shared" si="1"/>
        <v>60</v>
      </c>
      <c r="C67" s="99" t="s">
        <v>163</v>
      </c>
      <c r="D67" s="91" t="s">
        <v>19</v>
      </c>
      <c r="E67" s="16">
        <v>4</v>
      </c>
      <c r="F67" s="16">
        <f t="shared" si="0"/>
        <v>4</v>
      </c>
      <c r="G67" s="16">
        <f t="shared" si="2"/>
        <v>2</v>
      </c>
      <c r="H67" s="135"/>
      <c r="I67" s="138"/>
    </row>
    <row r="68" spans="1:9" x14ac:dyDescent="0.25">
      <c r="A68" s="142"/>
      <c r="B68" s="35">
        <f t="shared" si="1"/>
        <v>61</v>
      </c>
      <c r="C68" s="36" t="s">
        <v>159</v>
      </c>
      <c r="D68" s="56" t="s">
        <v>22</v>
      </c>
      <c r="E68" s="16">
        <v>4</v>
      </c>
      <c r="F68" s="16">
        <f t="shared" si="0"/>
        <v>4</v>
      </c>
      <c r="G68" s="16">
        <f t="shared" si="2"/>
        <v>4</v>
      </c>
      <c r="H68" s="135"/>
      <c r="I68" s="138"/>
    </row>
    <row r="69" spans="1:9" x14ac:dyDescent="0.25">
      <c r="A69" s="142"/>
      <c r="B69" s="35">
        <f t="shared" si="1"/>
        <v>62</v>
      </c>
      <c r="C69" s="36" t="s">
        <v>161</v>
      </c>
      <c r="D69" s="56" t="s">
        <v>22</v>
      </c>
      <c r="E69" s="16">
        <v>4</v>
      </c>
      <c r="F69" s="16">
        <f t="shared" si="0"/>
        <v>4</v>
      </c>
      <c r="G69" s="16">
        <f t="shared" si="2"/>
        <v>4</v>
      </c>
      <c r="H69" s="135"/>
      <c r="I69" s="138"/>
    </row>
    <row r="70" spans="1:9" x14ac:dyDescent="0.25">
      <c r="A70" s="142"/>
      <c r="B70" s="35">
        <f t="shared" si="1"/>
        <v>63</v>
      </c>
      <c r="C70" s="99" t="s">
        <v>167</v>
      </c>
      <c r="D70" s="91" t="s">
        <v>19</v>
      </c>
      <c r="E70" s="16">
        <v>4</v>
      </c>
      <c r="F70" s="16">
        <f t="shared" si="0"/>
        <v>4</v>
      </c>
      <c r="G70" s="16">
        <f t="shared" si="2"/>
        <v>2</v>
      </c>
      <c r="H70" s="135"/>
      <c r="I70" s="138"/>
    </row>
    <row r="71" spans="1:9" ht="15.75" thickBot="1" x14ac:dyDescent="0.3">
      <c r="A71" s="142"/>
      <c r="B71" s="35">
        <f t="shared" si="1"/>
        <v>64</v>
      </c>
      <c r="C71" s="106" t="s">
        <v>166</v>
      </c>
      <c r="D71" s="113" t="s">
        <v>21</v>
      </c>
      <c r="E71" s="16">
        <v>4</v>
      </c>
      <c r="F71" s="16">
        <f t="shared" si="0"/>
        <v>4</v>
      </c>
      <c r="G71" s="16">
        <f t="shared" si="2"/>
        <v>0</v>
      </c>
      <c r="H71" s="135"/>
      <c r="I71" s="138"/>
    </row>
    <row r="72" spans="1:9" x14ac:dyDescent="0.25">
      <c r="A72" s="142"/>
      <c r="B72" s="35">
        <f t="shared" si="1"/>
        <v>65</v>
      </c>
      <c r="C72" s="99" t="s">
        <v>165</v>
      </c>
      <c r="D72" s="91" t="s">
        <v>19</v>
      </c>
      <c r="E72" s="16">
        <v>4</v>
      </c>
      <c r="F72" s="16">
        <f t="shared" ref="F72:F135" si="5">IF(D72="","",IF(D72="Yes",E72,IF(D72="Tending to Yes",E72,IF(D72="Tending to No",E72,IF(D72="No",E72,)))))</f>
        <v>4</v>
      </c>
      <c r="G72" s="16">
        <f t="shared" si="2"/>
        <v>2</v>
      </c>
      <c r="H72" s="135"/>
      <c r="I72" s="138"/>
    </row>
    <row r="73" spans="1:9" x14ac:dyDescent="0.25">
      <c r="A73" s="142"/>
      <c r="B73" s="35">
        <f t="shared" si="1"/>
        <v>66</v>
      </c>
      <c r="C73" s="105" t="s">
        <v>157</v>
      </c>
      <c r="D73" s="93" t="s">
        <v>20</v>
      </c>
      <c r="E73" s="16">
        <v>4</v>
      </c>
      <c r="F73" s="16">
        <f t="shared" si="5"/>
        <v>4</v>
      </c>
      <c r="G73" s="16">
        <f t="shared" si="2"/>
        <v>1</v>
      </c>
      <c r="H73" s="135"/>
      <c r="I73" s="138"/>
    </row>
    <row r="74" spans="1:9" x14ac:dyDescent="0.25">
      <c r="A74" s="142"/>
      <c r="B74" s="35">
        <f t="shared" ref="B74:B137" si="6">+B73+1</f>
        <v>67</v>
      </c>
      <c r="C74" s="36" t="s">
        <v>158</v>
      </c>
      <c r="D74" s="56" t="s">
        <v>22</v>
      </c>
      <c r="E74" s="16">
        <v>4</v>
      </c>
      <c r="F74" s="16">
        <f t="shared" si="5"/>
        <v>4</v>
      </c>
      <c r="G74" s="16">
        <f t="shared" ref="G74:G137" si="7">IF(E74="NA","NA",IF(D74="Yes",E74,IF(D74="Tending to yes",E74/2,IF(D74="Tending to No",F74/4,IF(D74="No",0,IF(D74="","Input Status"))))))</f>
        <v>4</v>
      </c>
      <c r="H74" s="135"/>
      <c r="I74" s="138"/>
    </row>
    <row r="75" spans="1:9" x14ac:dyDescent="0.25">
      <c r="A75" s="142"/>
      <c r="B75" s="35">
        <f t="shared" si="6"/>
        <v>68</v>
      </c>
      <c r="C75" s="36" t="s">
        <v>156</v>
      </c>
      <c r="D75" s="56" t="s">
        <v>22</v>
      </c>
      <c r="E75" s="16">
        <v>4</v>
      </c>
      <c r="F75" s="16">
        <f t="shared" si="5"/>
        <v>4</v>
      </c>
      <c r="G75" s="16">
        <f t="shared" si="7"/>
        <v>4</v>
      </c>
      <c r="H75" s="135"/>
      <c r="I75" s="138"/>
    </row>
    <row r="76" spans="1:9" x14ac:dyDescent="0.25">
      <c r="A76" s="142"/>
      <c r="B76" s="35">
        <f t="shared" si="6"/>
        <v>69</v>
      </c>
      <c r="C76" s="99" t="s">
        <v>162</v>
      </c>
      <c r="D76" s="91" t="s">
        <v>19</v>
      </c>
      <c r="E76" s="16">
        <v>4</v>
      </c>
      <c r="F76" s="16">
        <f t="shared" si="5"/>
        <v>4</v>
      </c>
      <c r="G76" s="16">
        <f t="shared" si="7"/>
        <v>2</v>
      </c>
      <c r="H76" s="135"/>
      <c r="I76" s="138"/>
    </row>
    <row r="77" spans="1:9" x14ac:dyDescent="0.25">
      <c r="A77" s="142"/>
      <c r="B77" s="35">
        <f t="shared" si="6"/>
        <v>70</v>
      </c>
      <c r="C77" s="99" t="s">
        <v>164</v>
      </c>
      <c r="D77" s="91" t="s">
        <v>19</v>
      </c>
      <c r="E77" s="16">
        <v>4</v>
      </c>
      <c r="F77" s="16">
        <f t="shared" si="5"/>
        <v>4</v>
      </c>
      <c r="G77" s="16">
        <f t="shared" si="7"/>
        <v>2</v>
      </c>
      <c r="H77" s="135"/>
      <c r="I77" s="138"/>
    </row>
    <row r="78" spans="1:9" x14ac:dyDescent="0.25">
      <c r="A78" s="142"/>
      <c r="B78" s="35">
        <f t="shared" si="6"/>
        <v>71</v>
      </c>
      <c r="C78" s="105" t="s">
        <v>154</v>
      </c>
      <c r="D78" s="93" t="s">
        <v>20</v>
      </c>
      <c r="E78" s="16">
        <v>4</v>
      </c>
      <c r="F78" s="16">
        <f t="shared" si="5"/>
        <v>4</v>
      </c>
      <c r="G78" s="16">
        <f t="shared" si="7"/>
        <v>1</v>
      </c>
      <c r="H78" s="135"/>
      <c r="I78" s="138"/>
    </row>
    <row r="79" spans="1:9" ht="15.75" thickBot="1" x14ac:dyDescent="0.3">
      <c r="A79" s="143"/>
      <c r="B79" s="35">
        <f t="shared" si="6"/>
        <v>72</v>
      </c>
      <c r="C79" s="36" t="s">
        <v>155</v>
      </c>
      <c r="D79" s="56" t="s">
        <v>22</v>
      </c>
      <c r="E79" s="16">
        <v>4</v>
      </c>
      <c r="F79" s="16">
        <f t="shared" si="5"/>
        <v>4</v>
      </c>
      <c r="G79" s="16">
        <f t="shared" si="7"/>
        <v>4</v>
      </c>
      <c r="H79" s="135"/>
      <c r="I79" s="138"/>
    </row>
    <row r="80" spans="1:9" x14ac:dyDescent="0.25">
      <c r="A80" s="141"/>
      <c r="B80" s="35">
        <f t="shared" si="6"/>
        <v>73</v>
      </c>
      <c r="C80" s="99" t="s">
        <v>29</v>
      </c>
      <c r="D80" s="91" t="s">
        <v>19</v>
      </c>
      <c r="E80" s="16">
        <v>4</v>
      </c>
      <c r="F80" s="16">
        <f t="shared" si="5"/>
        <v>4</v>
      </c>
      <c r="G80" s="16">
        <f t="shared" si="7"/>
        <v>2</v>
      </c>
      <c r="H80" s="135"/>
      <c r="I80" s="138"/>
    </row>
    <row r="81" spans="1:9" x14ac:dyDescent="0.25">
      <c r="A81" s="142"/>
      <c r="B81" s="35">
        <f t="shared" si="6"/>
        <v>74</v>
      </c>
      <c r="C81" s="41" t="s">
        <v>160</v>
      </c>
      <c r="D81" s="56" t="s">
        <v>22</v>
      </c>
      <c r="E81" s="16">
        <v>4</v>
      </c>
      <c r="F81" s="16">
        <f t="shared" si="5"/>
        <v>4</v>
      </c>
      <c r="G81" s="16">
        <f t="shared" si="7"/>
        <v>4</v>
      </c>
      <c r="H81" s="135"/>
      <c r="I81" s="138"/>
    </row>
    <row r="82" spans="1:9" x14ac:dyDescent="0.25">
      <c r="A82" s="142"/>
      <c r="B82" s="35">
        <f t="shared" si="6"/>
        <v>75</v>
      </c>
      <c r="C82" s="36" t="s">
        <v>30</v>
      </c>
      <c r="D82" s="56" t="s">
        <v>22</v>
      </c>
      <c r="E82" s="16">
        <v>4</v>
      </c>
      <c r="F82" s="16">
        <f t="shared" si="5"/>
        <v>4</v>
      </c>
      <c r="G82" s="16">
        <f t="shared" si="7"/>
        <v>4</v>
      </c>
      <c r="H82" s="135"/>
      <c r="I82" s="138"/>
    </row>
    <row r="83" spans="1:9" ht="15.75" thickBot="1" x14ac:dyDescent="0.3">
      <c r="A83" s="142"/>
      <c r="B83" s="37">
        <f t="shared" si="6"/>
        <v>76</v>
      </c>
      <c r="C83" s="106" t="s">
        <v>195</v>
      </c>
      <c r="D83" s="94" t="s">
        <v>21</v>
      </c>
      <c r="E83" s="60">
        <v>4</v>
      </c>
      <c r="F83" s="55">
        <f t="shared" si="5"/>
        <v>4</v>
      </c>
      <c r="G83" s="21">
        <f t="shared" si="7"/>
        <v>0</v>
      </c>
      <c r="H83" s="136"/>
      <c r="I83" s="140"/>
    </row>
    <row r="84" spans="1:9" ht="15" customHeight="1" x14ac:dyDescent="0.25">
      <c r="A84" s="141" t="s">
        <v>58</v>
      </c>
      <c r="B84" s="38">
        <f t="shared" si="6"/>
        <v>77</v>
      </c>
      <c r="C84" s="39" t="s">
        <v>168</v>
      </c>
      <c r="D84" s="52" t="s">
        <v>22</v>
      </c>
      <c r="E84" s="53">
        <v>3</v>
      </c>
      <c r="F84" s="53">
        <f t="shared" si="5"/>
        <v>3</v>
      </c>
      <c r="G84" s="61">
        <f t="shared" si="7"/>
        <v>3</v>
      </c>
      <c r="H84" s="134">
        <f>IF(SUMPRODUCT(F84:F97)=0,"NA",(SUMPRODUCT(G84:G97)/SUMPRODUCT(F84:F97)))</f>
        <v>0.7142857142857143</v>
      </c>
      <c r="I84" s="137" t="str">
        <f>IF(H84="NA","NA",IF(H84&gt;90%,"EXCELLENT",IF(H84&lt;60%,"BELOW AVERAGE",IF(H84&lt;75%,"AVERAGE",IF(H84&gt;74%,"GOOD")))))</f>
        <v>AVERAGE</v>
      </c>
    </row>
    <row r="85" spans="1:9" x14ac:dyDescent="0.25">
      <c r="A85" s="142"/>
      <c r="B85" s="35">
        <f t="shared" si="6"/>
        <v>78</v>
      </c>
      <c r="C85" s="99" t="s">
        <v>172</v>
      </c>
      <c r="D85" s="91" t="s">
        <v>19</v>
      </c>
      <c r="E85" s="16">
        <v>3</v>
      </c>
      <c r="F85" s="16">
        <f t="shared" si="5"/>
        <v>3</v>
      </c>
      <c r="G85" s="16">
        <f t="shared" si="7"/>
        <v>1.5</v>
      </c>
      <c r="H85" s="135"/>
      <c r="I85" s="138"/>
    </row>
    <row r="86" spans="1:9" x14ac:dyDescent="0.25">
      <c r="A86" s="142"/>
      <c r="B86" s="35">
        <f t="shared" si="6"/>
        <v>79</v>
      </c>
      <c r="C86" s="36" t="s">
        <v>169</v>
      </c>
      <c r="D86" s="56" t="s">
        <v>22</v>
      </c>
      <c r="E86" s="16">
        <v>3</v>
      </c>
      <c r="F86" s="16">
        <f t="shared" si="5"/>
        <v>3</v>
      </c>
      <c r="G86" s="16">
        <f t="shared" si="7"/>
        <v>3</v>
      </c>
      <c r="H86" s="135"/>
      <c r="I86" s="138"/>
    </row>
    <row r="87" spans="1:9" x14ac:dyDescent="0.25">
      <c r="A87" s="142"/>
      <c r="B87" s="35">
        <f t="shared" si="6"/>
        <v>80</v>
      </c>
      <c r="C87" s="105" t="s">
        <v>178</v>
      </c>
      <c r="D87" s="93" t="s">
        <v>20</v>
      </c>
      <c r="E87" s="16">
        <v>3</v>
      </c>
      <c r="F87" s="16">
        <f t="shared" si="5"/>
        <v>3</v>
      </c>
      <c r="G87" s="16">
        <f t="shared" si="7"/>
        <v>0.75</v>
      </c>
      <c r="H87" s="135"/>
      <c r="I87" s="138"/>
    </row>
    <row r="88" spans="1:9" x14ac:dyDescent="0.25">
      <c r="A88" s="142"/>
      <c r="B88" s="35">
        <f t="shared" si="6"/>
        <v>81</v>
      </c>
      <c r="C88" s="99" t="s">
        <v>170</v>
      </c>
      <c r="D88" s="91" t="s">
        <v>19</v>
      </c>
      <c r="E88" s="16">
        <v>3</v>
      </c>
      <c r="F88" s="16">
        <f t="shared" si="5"/>
        <v>3</v>
      </c>
      <c r="G88" s="16">
        <f t="shared" si="7"/>
        <v>1.5</v>
      </c>
      <c r="H88" s="135"/>
      <c r="I88" s="138"/>
    </row>
    <row r="89" spans="1:9" x14ac:dyDescent="0.25">
      <c r="A89" s="142"/>
      <c r="B89" s="35">
        <f t="shared" si="6"/>
        <v>82</v>
      </c>
      <c r="C89" s="99" t="s">
        <v>174</v>
      </c>
      <c r="D89" s="91" t="s">
        <v>19</v>
      </c>
      <c r="E89" s="16">
        <v>3</v>
      </c>
      <c r="F89" s="16">
        <f t="shared" si="5"/>
        <v>3</v>
      </c>
      <c r="G89" s="16">
        <f t="shared" si="7"/>
        <v>1.5</v>
      </c>
      <c r="H89" s="135"/>
      <c r="I89" s="138"/>
    </row>
    <row r="90" spans="1:9" x14ac:dyDescent="0.25">
      <c r="A90" s="142"/>
      <c r="B90" s="35">
        <f t="shared" si="6"/>
        <v>83</v>
      </c>
      <c r="C90" s="36" t="s">
        <v>171</v>
      </c>
      <c r="D90" s="56" t="s">
        <v>22</v>
      </c>
      <c r="E90" s="16">
        <v>3</v>
      </c>
      <c r="F90" s="16">
        <f t="shared" si="5"/>
        <v>3</v>
      </c>
      <c r="G90" s="16">
        <f t="shared" si="7"/>
        <v>3</v>
      </c>
      <c r="H90" s="135"/>
      <c r="I90" s="138"/>
    </row>
    <row r="91" spans="1:9" x14ac:dyDescent="0.25">
      <c r="A91" s="142"/>
      <c r="B91" s="35">
        <f t="shared" si="6"/>
        <v>84</v>
      </c>
      <c r="C91" s="36" t="s">
        <v>175</v>
      </c>
      <c r="D91" s="56" t="s">
        <v>22</v>
      </c>
      <c r="E91" s="16">
        <v>3</v>
      </c>
      <c r="F91" s="16">
        <f t="shared" si="5"/>
        <v>3</v>
      </c>
      <c r="G91" s="16">
        <f t="shared" si="7"/>
        <v>3</v>
      </c>
      <c r="H91" s="135"/>
      <c r="I91" s="138"/>
    </row>
    <row r="92" spans="1:9" x14ac:dyDescent="0.25">
      <c r="A92" s="142"/>
      <c r="B92" s="35">
        <f t="shared" si="6"/>
        <v>85</v>
      </c>
      <c r="C92" s="99" t="s">
        <v>173</v>
      </c>
      <c r="D92" s="91" t="s">
        <v>19</v>
      </c>
      <c r="E92" s="16">
        <v>3</v>
      </c>
      <c r="F92" s="16">
        <f t="shared" si="5"/>
        <v>3</v>
      </c>
      <c r="G92" s="16">
        <f t="shared" si="7"/>
        <v>1.5</v>
      </c>
      <c r="H92" s="135"/>
      <c r="I92" s="138"/>
    </row>
    <row r="93" spans="1:9" x14ac:dyDescent="0.25">
      <c r="A93" s="142"/>
      <c r="B93" s="35">
        <f t="shared" si="6"/>
        <v>86</v>
      </c>
      <c r="C93" s="105" t="s">
        <v>179</v>
      </c>
      <c r="D93" s="93" t="s">
        <v>20</v>
      </c>
      <c r="E93" s="16">
        <v>3</v>
      </c>
      <c r="F93" s="16">
        <f t="shared" si="5"/>
        <v>3</v>
      </c>
      <c r="G93" s="16">
        <f t="shared" si="7"/>
        <v>0.75</v>
      </c>
      <c r="H93" s="135"/>
      <c r="I93" s="138"/>
    </row>
    <row r="94" spans="1:9" x14ac:dyDescent="0.25">
      <c r="A94" s="142"/>
      <c r="B94" s="35">
        <f t="shared" si="6"/>
        <v>87</v>
      </c>
      <c r="C94" s="99" t="s">
        <v>177</v>
      </c>
      <c r="D94" s="91" t="s">
        <v>19</v>
      </c>
      <c r="E94" s="16">
        <v>3</v>
      </c>
      <c r="F94" s="16">
        <f t="shared" si="5"/>
        <v>3</v>
      </c>
      <c r="G94" s="16">
        <f t="shared" si="7"/>
        <v>1.5</v>
      </c>
      <c r="H94" s="135"/>
      <c r="I94" s="138"/>
    </row>
    <row r="95" spans="1:9" x14ac:dyDescent="0.25">
      <c r="A95" s="142"/>
      <c r="B95" s="35">
        <f t="shared" si="6"/>
        <v>88</v>
      </c>
      <c r="C95" s="36" t="s">
        <v>180</v>
      </c>
      <c r="D95" s="56" t="s">
        <v>22</v>
      </c>
      <c r="E95" s="16">
        <v>3</v>
      </c>
      <c r="F95" s="16">
        <f t="shared" si="5"/>
        <v>3</v>
      </c>
      <c r="G95" s="16">
        <f t="shared" si="7"/>
        <v>3</v>
      </c>
      <c r="H95" s="135"/>
      <c r="I95" s="138"/>
    </row>
    <row r="96" spans="1:9" x14ac:dyDescent="0.25">
      <c r="A96" s="142"/>
      <c r="B96" s="35">
        <f t="shared" si="6"/>
        <v>89</v>
      </c>
      <c r="C96" s="36" t="s">
        <v>176</v>
      </c>
      <c r="D96" s="56" t="s">
        <v>22</v>
      </c>
      <c r="E96" s="16">
        <v>3</v>
      </c>
      <c r="F96" s="16">
        <f t="shared" si="5"/>
        <v>3</v>
      </c>
      <c r="G96" s="16">
        <f t="shared" si="7"/>
        <v>3</v>
      </c>
      <c r="H96" s="135"/>
      <c r="I96" s="138"/>
    </row>
    <row r="97" spans="1:9" ht="15.75" thickBot="1" x14ac:dyDescent="0.3">
      <c r="A97" s="143"/>
      <c r="B97" s="37">
        <f t="shared" si="6"/>
        <v>90</v>
      </c>
      <c r="C97" s="40" t="s">
        <v>60</v>
      </c>
      <c r="D97" s="64" t="s">
        <v>22</v>
      </c>
      <c r="E97" s="55">
        <v>3</v>
      </c>
      <c r="F97" s="65">
        <f t="shared" si="5"/>
        <v>3</v>
      </c>
      <c r="G97" s="21">
        <f t="shared" si="7"/>
        <v>3</v>
      </c>
      <c r="H97" s="136"/>
      <c r="I97" s="140"/>
    </row>
    <row r="98" spans="1:9" x14ac:dyDescent="0.25">
      <c r="A98" s="129" t="s">
        <v>61</v>
      </c>
      <c r="B98" s="38">
        <f t="shared" si="6"/>
        <v>91</v>
      </c>
      <c r="C98" s="39" t="s">
        <v>185</v>
      </c>
      <c r="D98" s="52" t="s">
        <v>22</v>
      </c>
      <c r="E98" s="60">
        <v>3</v>
      </c>
      <c r="F98" s="53">
        <f t="shared" si="5"/>
        <v>3</v>
      </c>
      <c r="G98" s="60">
        <f t="shared" si="7"/>
        <v>3</v>
      </c>
      <c r="H98" s="134">
        <f>IF(SUMPRODUCT(F98:F108)=0,"NA",(SUMPRODUCT(G98:G108)/SUMPRODUCT(F98:F108)))</f>
        <v>0.52272727272727271</v>
      </c>
      <c r="I98" s="137" t="str">
        <f>IF(H98="NA","NA",IF(H98&gt;90%,"EXCELLENT",IF(H98&lt;60%,"BELOW AVERAGE",IF(H98&lt;75%,"AVERAGE",IF(H98&gt;74%,"GOOD")))))</f>
        <v>BELOW AVERAGE</v>
      </c>
    </row>
    <row r="99" spans="1:9" ht="15.75" thickBot="1" x14ac:dyDescent="0.3">
      <c r="A99" s="130"/>
      <c r="B99" s="35">
        <f t="shared" si="6"/>
        <v>92</v>
      </c>
      <c r="C99" s="106" t="s">
        <v>186</v>
      </c>
      <c r="D99" s="113" t="s">
        <v>21</v>
      </c>
      <c r="E99" s="16">
        <v>3</v>
      </c>
      <c r="F99" s="16">
        <f t="shared" si="5"/>
        <v>3</v>
      </c>
      <c r="G99" s="16">
        <f t="shared" si="7"/>
        <v>0</v>
      </c>
      <c r="H99" s="135"/>
      <c r="I99" s="159"/>
    </row>
    <row r="100" spans="1:9" x14ac:dyDescent="0.25">
      <c r="A100" s="130"/>
      <c r="B100" s="35">
        <f t="shared" si="6"/>
        <v>93</v>
      </c>
      <c r="C100" s="36" t="s">
        <v>187</v>
      </c>
      <c r="D100" s="56" t="s">
        <v>22</v>
      </c>
      <c r="E100" s="16">
        <v>3</v>
      </c>
      <c r="F100" s="16">
        <f t="shared" si="5"/>
        <v>3</v>
      </c>
      <c r="G100" s="16">
        <f t="shared" si="7"/>
        <v>3</v>
      </c>
      <c r="H100" s="135"/>
      <c r="I100" s="159"/>
    </row>
    <row r="101" spans="1:9" x14ac:dyDescent="0.25">
      <c r="A101" s="131"/>
      <c r="B101" s="35">
        <f t="shared" si="6"/>
        <v>94</v>
      </c>
      <c r="C101" s="99" t="s">
        <v>181</v>
      </c>
      <c r="D101" s="91" t="s">
        <v>19</v>
      </c>
      <c r="E101" s="16">
        <v>3</v>
      </c>
      <c r="F101" s="60">
        <f t="shared" si="5"/>
        <v>3</v>
      </c>
      <c r="G101" s="61">
        <f t="shared" si="7"/>
        <v>1.5</v>
      </c>
      <c r="H101" s="135"/>
      <c r="I101" s="138"/>
    </row>
    <row r="102" spans="1:9" ht="15.75" thickBot="1" x14ac:dyDescent="0.3">
      <c r="A102" s="131"/>
      <c r="B102" s="35">
        <f t="shared" si="6"/>
        <v>95</v>
      </c>
      <c r="C102" s="106" t="s">
        <v>182</v>
      </c>
      <c r="D102" s="113" t="s">
        <v>21</v>
      </c>
      <c r="E102" s="16">
        <v>3</v>
      </c>
      <c r="F102" s="16">
        <f t="shared" si="5"/>
        <v>3</v>
      </c>
      <c r="G102" s="16">
        <f t="shared" si="7"/>
        <v>0</v>
      </c>
      <c r="H102" s="135"/>
      <c r="I102" s="138"/>
    </row>
    <row r="103" spans="1:9" ht="15.75" thickBot="1" x14ac:dyDescent="0.3">
      <c r="A103" s="132"/>
      <c r="B103" s="35">
        <f t="shared" si="6"/>
        <v>96</v>
      </c>
      <c r="C103" s="106" t="s">
        <v>188</v>
      </c>
      <c r="D103" s="113" t="s">
        <v>21</v>
      </c>
      <c r="E103" s="16">
        <v>3</v>
      </c>
      <c r="F103" s="16">
        <f t="shared" si="5"/>
        <v>3</v>
      </c>
      <c r="G103" s="16">
        <f t="shared" si="7"/>
        <v>0</v>
      </c>
      <c r="H103" s="135"/>
      <c r="I103" s="138"/>
    </row>
    <row r="104" spans="1:9" x14ac:dyDescent="0.25">
      <c r="A104" s="132"/>
      <c r="B104" s="35">
        <f t="shared" si="6"/>
        <v>97</v>
      </c>
      <c r="C104" s="99" t="s">
        <v>184</v>
      </c>
      <c r="D104" s="91" t="s">
        <v>19</v>
      </c>
      <c r="E104" s="16">
        <v>3</v>
      </c>
      <c r="F104" s="16">
        <f t="shared" si="5"/>
        <v>3</v>
      </c>
      <c r="G104" s="16">
        <f t="shared" si="7"/>
        <v>1.5</v>
      </c>
      <c r="H104" s="135"/>
      <c r="I104" s="138"/>
    </row>
    <row r="105" spans="1:9" x14ac:dyDescent="0.25">
      <c r="A105" s="132"/>
      <c r="B105" s="35">
        <f t="shared" si="6"/>
        <v>98</v>
      </c>
      <c r="C105" s="99" t="s">
        <v>183</v>
      </c>
      <c r="D105" s="99" t="s">
        <v>19</v>
      </c>
      <c r="E105" s="16">
        <v>3</v>
      </c>
      <c r="F105" s="16">
        <f t="shared" si="5"/>
        <v>3</v>
      </c>
      <c r="G105" s="16">
        <f t="shared" si="7"/>
        <v>1.5</v>
      </c>
      <c r="H105" s="135"/>
      <c r="I105" s="138"/>
    </row>
    <row r="106" spans="1:9" x14ac:dyDescent="0.25">
      <c r="A106" s="132"/>
      <c r="B106" s="35">
        <f t="shared" si="6"/>
        <v>99</v>
      </c>
      <c r="C106" s="105" t="s">
        <v>190</v>
      </c>
      <c r="D106" s="93" t="s">
        <v>20</v>
      </c>
      <c r="E106" s="16">
        <v>3</v>
      </c>
      <c r="F106" s="16">
        <f t="shared" si="5"/>
        <v>3</v>
      </c>
      <c r="G106" s="16">
        <f t="shared" si="7"/>
        <v>0.75</v>
      </c>
      <c r="H106" s="135"/>
      <c r="I106" s="138"/>
    </row>
    <row r="107" spans="1:9" x14ac:dyDescent="0.25">
      <c r="A107" s="132"/>
      <c r="B107" s="35">
        <f t="shared" si="6"/>
        <v>100</v>
      </c>
      <c r="C107" s="36" t="s">
        <v>189</v>
      </c>
      <c r="D107" s="56" t="s">
        <v>22</v>
      </c>
      <c r="E107" s="16">
        <v>3</v>
      </c>
      <c r="F107" s="16">
        <f t="shared" si="5"/>
        <v>3</v>
      </c>
      <c r="G107" s="16">
        <f t="shared" si="7"/>
        <v>3</v>
      </c>
      <c r="H107" s="135"/>
      <c r="I107" s="138"/>
    </row>
    <row r="108" spans="1:9" ht="15.75" thickBot="1" x14ac:dyDescent="0.3">
      <c r="A108" s="133"/>
      <c r="B108" s="37">
        <f t="shared" si="6"/>
        <v>101</v>
      </c>
      <c r="C108" s="40" t="s">
        <v>59</v>
      </c>
      <c r="D108" s="54" t="s">
        <v>22</v>
      </c>
      <c r="E108" s="60">
        <v>3</v>
      </c>
      <c r="F108" s="55">
        <f t="shared" si="5"/>
        <v>3</v>
      </c>
      <c r="G108" s="21">
        <f t="shared" si="7"/>
        <v>3</v>
      </c>
      <c r="H108" s="136"/>
      <c r="I108" s="140"/>
    </row>
    <row r="109" spans="1:9" ht="15.75" thickBot="1" x14ac:dyDescent="0.3">
      <c r="A109" s="129" t="s">
        <v>12</v>
      </c>
      <c r="B109" s="38">
        <f t="shared" si="6"/>
        <v>102</v>
      </c>
      <c r="C109" s="103" t="s">
        <v>191</v>
      </c>
      <c r="D109" s="95" t="s">
        <v>19</v>
      </c>
      <c r="E109" s="53">
        <v>5</v>
      </c>
      <c r="F109" s="66">
        <f t="shared" si="5"/>
        <v>5</v>
      </c>
      <c r="G109" s="61">
        <f t="shared" si="7"/>
        <v>2.5</v>
      </c>
      <c r="H109" s="134">
        <f>IF(SUMPRODUCT(F109:F116)=0,"NA",(SUMPRODUCT(G109:G116)/SUMPRODUCT(F109:F116)))</f>
        <v>0.65625</v>
      </c>
      <c r="I109" s="137" t="str">
        <f>IF(H109="NA","NA",IF(H109&gt;90%,"EXCELLENT",IF(H109&lt;60%,"BELOW AVERAGE",IF(H109&lt;75%,"AVERAGE",IF(H109&gt;74%,"GOOD")))))</f>
        <v>AVERAGE</v>
      </c>
    </row>
    <row r="110" spans="1:9" ht="15.75" thickBot="1" x14ac:dyDescent="0.3">
      <c r="A110" s="131"/>
      <c r="B110" s="35">
        <f t="shared" si="6"/>
        <v>103</v>
      </c>
      <c r="C110" s="99" t="s">
        <v>197</v>
      </c>
      <c r="D110" s="95" t="s">
        <v>19</v>
      </c>
      <c r="E110" s="16">
        <v>5</v>
      </c>
      <c r="F110" s="16">
        <f t="shared" si="5"/>
        <v>5</v>
      </c>
      <c r="G110" s="16">
        <f t="shared" si="7"/>
        <v>2.5</v>
      </c>
      <c r="H110" s="135"/>
      <c r="I110" s="138"/>
    </row>
    <row r="111" spans="1:9" ht="15.75" thickBot="1" x14ac:dyDescent="0.3">
      <c r="A111" s="131"/>
      <c r="B111" s="35">
        <f t="shared" si="6"/>
        <v>104</v>
      </c>
      <c r="C111" s="99" t="s">
        <v>192</v>
      </c>
      <c r="D111" s="95" t="s">
        <v>19</v>
      </c>
      <c r="E111" s="16">
        <v>5</v>
      </c>
      <c r="F111" s="16">
        <f t="shared" si="5"/>
        <v>5</v>
      </c>
      <c r="G111" s="16">
        <f t="shared" si="7"/>
        <v>2.5</v>
      </c>
      <c r="H111" s="135"/>
      <c r="I111" s="138"/>
    </row>
    <row r="112" spans="1:9" x14ac:dyDescent="0.25">
      <c r="A112" s="131"/>
      <c r="B112" s="35">
        <f t="shared" si="6"/>
        <v>105</v>
      </c>
      <c r="C112" s="99" t="s">
        <v>193</v>
      </c>
      <c r="D112" s="95" t="s">
        <v>19</v>
      </c>
      <c r="E112" s="16">
        <v>5</v>
      </c>
      <c r="F112" s="16">
        <f t="shared" si="5"/>
        <v>5</v>
      </c>
      <c r="G112" s="16">
        <f t="shared" si="7"/>
        <v>2.5</v>
      </c>
      <c r="H112" s="135"/>
      <c r="I112" s="138"/>
    </row>
    <row r="113" spans="1:9" x14ac:dyDescent="0.25">
      <c r="A113" s="131"/>
      <c r="B113" s="35">
        <f t="shared" si="6"/>
        <v>106</v>
      </c>
      <c r="C113" s="111" t="s">
        <v>194</v>
      </c>
      <c r="D113" s="56" t="s">
        <v>22</v>
      </c>
      <c r="E113" s="16">
        <v>5</v>
      </c>
      <c r="F113" s="16">
        <f t="shared" si="5"/>
        <v>5</v>
      </c>
      <c r="G113" s="16">
        <f t="shared" si="7"/>
        <v>5</v>
      </c>
      <c r="H113" s="135"/>
      <c r="I113" s="138"/>
    </row>
    <row r="114" spans="1:9" x14ac:dyDescent="0.25">
      <c r="A114" s="132"/>
      <c r="B114" s="35">
        <f t="shared" si="6"/>
        <v>107</v>
      </c>
      <c r="C114" s="36" t="s">
        <v>199</v>
      </c>
      <c r="D114" s="56" t="s">
        <v>22</v>
      </c>
      <c r="E114" s="16">
        <v>5</v>
      </c>
      <c r="F114" s="16">
        <f t="shared" si="5"/>
        <v>5</v>
      </c>
      <c r="G114" s="16">
        <f t="shared" si="7"/>
        <v>5</v>
      </c>
      <c r="H114" s="135"/>
      <c r="I114" s="138"/>
    </row>
    <row r="115" spans="1:9" x14ac:dyDescent="0.25">
      <c r="A115" s="132"/>
      <c r="B115" s="35">
        <f t="shared" si="6"/>
        <v>108</v>
      </c>
      <c r="C115" s="105" t="s">
        <v>196</v>
      </c>
      <c r="D115" s="93" t="s">
        <v>20</v>
      </c>
      <c r="E115" s="16">
        <v>5</v>
      </c>
      <c r="F115" s="16">
        <f t="shared" si="5"/>
        <v>5</v>
      </c>
      <c r="G115" s="16">
        <f t="shared" si="7"/>
        <v>1.25</v>
      </c>
      <c r="H115" s="135"/>
      <c r="I115" s="138"/>
    </row>
    <row r="116" spans="1:9" ht="15.75" thickBot="1" x14ac:dyDescent="0.3">
      <c r="A116" s="133"/>
      <c r="B116" s="37">
        <f t="shared" si="6"/>
        <v>109</v>
      </c>
      <c r="C116" s="40" t="s">
        <v>198</v>
      </c>
      <c r="D116" s="64" t="s">
        <v>22</v>
      </c>
      <c r="E116" s="21">
        <v>5</v>
      </c>
      <c r="F116" s="65">
        <f t="shared" si="5"/>
        <v>5</v>
      </c>
      <c r="G116" s="21">
        <f t="shared" si="7"/>
        <v>5</v>
      </c>
      <c r="H116" s="136"/>
      <c r="I116" s="140"/>
    </row>
    <row r="117" spans="1:9" x14ac:dyDescent="0.25">
      <c r="A117" s="129" t="s">
        <v>13</v>
      </c>
      <c r="B117" s="38">
        <f t="shared" si="6"/>
        <v>110</v>
      </c>
      <c r="C117" s="39" t="s">
        <v>203</v>
      </c>
      <c r="D117" s="52" t="s">
        <v>22</v>
      </c>
      <c r="E117" s="61">
        <v>3</v>
      </c>
      <c r="F117" s="53">
        <f t="shared" si="5"/>
        <v>3</v>
      </c>
      <c r="G117" s="61">
        <f t="shared" si="7"/>
        <v>3</v>
      </c>
      <c r="H117" s="134">
        <f>IF(SUMPRODUCT(F117:F125)=0,"NA",(SUMPRODUCT(G117:G125)/SUMPRODUCT(F117:F125)))</f>
        <v>0.83333333333333337</v>
      </c>
      <c r="I117" s="137" t="str">
        <f>IF(H117="NA","NA",IF(H117&gt;90%,"EXCELLENT",IF(H117&lt;60%,"BELOW AVERAGE",IF(H117&lt;75%,"AVERAGE",IF(H117&gt;74%,"GOOD")))))</f>
        <v>GOOD</v>
      </c>
    </row>
    <row r="118" spans="1:9" x14ac:dyDescent="0.25">
      <c r="A118" s="131"/>
      <c r="B118" s="35">
        <f t="shared" si="6"/>
        <v>111</v>
      </c>
      <c r="C118" s="36" t="s">
        <v>62</v>
      </c>
      <c r="D118" s="56" t="s">
        <v>22</v>
      </c>
      <c r="E118" s="16">
        <v>3</v>
      </c>
      <c r="F118" s="16">
        <f t="shared" si="5"/>
        <v>3</v>
      </c>
      <c r="G118" s="61">
        <f t="shared" si="7"/>
        <v>3</v>
      </c>
      <c r="H118" s="135"/>
      <c r="I118" s="138"/>
    </row>
    <row r="119" spans="1:9" x14ac:dyDescent="0.25">
      <c r="A119" s="131"/>
      <c r="B119" s="35">
        <f t="shared" si="6"/>
        <v>112</v>
      </c>
      <c r="C119" s="36" t="s">
        <v>205</v>
      </c>
      <c r="D119" s="56" t="s">
        <v>22</v>
      </c>
      <c r="E119" s="16">
        <v>3</v>
      </c>
      <c r="F119" s="16">
        <f t="shared" si="5"/>
        <v>3</v>
      </c>
      <c r="G119" s="61">
        <f t="shared" si="7"/>
        <v>3</v>
      </c>
      <c r="H119" s="135"/>
      <c r="I119" s="138"/>
    </row>
    <row r="120" spans="1:9" ht="15.75" thickBot="1" x14ac:dyDescent="0.3">
      <c r="A120" s="131"/>
      <c r="B120" s="35">
        <f t="shared" si="6"/>
        <v>113</v>
      </c>
      <c r="C120" s="36" t="s">
        <v>63</v>
      </c>
      <c r="D120" s="56" t="s">
        <v>22</v>
      </c>
      <c r="E120" s="16">
        <v>3</v>
      </c>
      <c r="F120" s="16">
        <f t="shared" si="5"/>
        <v>3</v>
      </c>
      <c r="G120" s="61">
        <f t="shared" si="7"/>
        <v>3</v>
      </c>
      <c r="H120" s="135"/>
      <c r="I120" s="138"/>
    </row>
    <row r="121" spans="1:9" x14ac:dyDescent="0.25">
      <c r="A121" s="131"/>
      <c r="B121" s="35">
        <f t="shared" si="6"/>
        <v>114</v>
      </c>
      <c r="C121" s="99" t="s">
        <v>204</v>
      </c>
      <c r="D121" s="95" t="s">
        <v>19</v>
      </c>
      <c r="E121" s="16">
        <v>3</v>
      </c>
      <c r="F121" s="16">
        <f t="shared" si="5"/>
        <v>3</v>
      </c>
      <c r="G121" s="61">
        <f t="shared" si="7"/>
        <v>1.5</v>
      </c>
      <c r="H121" s="135"/>
      <c r="I121" s="138"/>
    </row>
    <row r="122" spans="1:9" x14ac:dyDescent="0.25">
      <c r="A122" s="131"/>
      <c r="B122" s="35">
        <f t="shared" si="6"/>
        <v>115</v>
      </c>
      <c r="C122" s="36" t="s">
        <v>200</v>
      </c>
      <c r="D122" s="56" t="s">
        <v>22</v>
      </c>
      <c r="E122" s="16">
        <v>3</v>
      </c>
      <c r="F122" s="16">
        <f t="shared" si="5"/>
        <v>3</v>
      </c>
      <c r="G122" s="61">
        <f t="shared" si="7"/>
        <v>3</v>
      </c>
      <c r="H122" s="135"/>
      <c r="I122" s="138"/>
    </row>
    <row r="123" spans="1:9" x14ac:dyDescent="0.25">
      <c r="A123" s="131"/>
      <c r="B123" s="35">
        <f t="shared" si="6"/>
        <v>116</v>
      </c>
      <c r="C123" s="100" t="s">
        <v>229</v>
      </c>
      <c r="D123" s="92" t="s">
        <v>21</v>
      </c>
      <c r="E123" s="16">
        <v>3</v>
      </c>
      <c r="F123" s="16">
        <f t="shared" si="5"/>
        <v>3</v>
      </c>
      <c r="G123" s="61">
        <f t="shared" si="7"/>
        <v>0</v>
      </c>
      <c r="H123" s="135"/>
      <c r="I123" s="138"/>
    </row>
    <row r="124" spans="1:9" x14ac:dyDescent="0.25">
      <c r="A124" s="131"/>
      <c r="B124" s="35">
        <f t="shared" si="6"/>
        <v>117</v>
      </c>
      <c r="C124" s="36" t="s">
        <v>201</v>
      </c>
      <c r="D124" s="56" t="s">
        <v>22</v>
      </c>
      <c r="E124" s="16">
        <v>3</v>
      </c>
      <c r="F124" s="16">
        <f t="shared" si="5"/>
        <v>3</v>
      </c>
      <c r="G124" s="61">
        <f t="shared" si="7"/>
        <v>3</v>
      </c>
      <c r="H124" s="135"/>
      <c r="I124" s="138"/>
    </row>
    <row r="125" spans="1:9" ht="15.75" thickBot="1" x14ac:dyDescent="0.3">
      <c r="A125" s="133"/>
      <c r="B125" s="37">
        <f t="shared" si="6"/>
        <v>118</v>
      </c>
      <c r="C125" s="40" t="s">
        <v>202</v>
      </c>
      <c r="D125" s="54" t="s">
        <v>22</v>
      </c>
      <c r="E125" s="16">
        <v>3</v>
      </c>
      <c r="F125" s="55">
        <f t="shared" si="5"/>
        <v>3</v>
      </c>
      <c r="G125" s="21">
        <f t="shared" si="7"/>
        <v>3</v>
      </c>
      <c r="H125" s="136"/>
      <c r="I125" s="140"/>
    </row>
    <row r="126" spans="1:9" x14ac:dyDescent="0.25">
      <c r="A126" s="129" t="s">
        <v>52</v>
      </c>
      <c r="B126" s="38">
        <f t="shared" si="6"/>
        <v>119</v>
      </c>
      <c r="C126" s="39" t="s">
        <v>208</v>
      </c>
      <c r="D126" s="52"/>
      <c r="E126" s="53" t="s">
        <v>77</v>
      </c>
      <c r="F126" s="53" t="str">
        <f t="shared" si="5"/>
        <v/>
      </c>
      <c r="G126" s="61" t="str">
        <f t="shared" si="7"/>
        <v>NA</v>
      </c>
      <c r="H126" s="134">
        <f>IF(SUMPRODUCT(F126:F140)=0,"NA",(SUMPRODUCT(G126:G140)/SUMPRODUCT(F126:F140)))</f>
        <v>0.9642857142857143</v>
      </c>
      <c r="I126" s="137" t="str">
        <f>IF(H126="NA","NA",IF(H126&gt;90%,"EXCELLENT",IF(H126&lt;60%,"BELOW AVERAGE",IF(H126&lt;75%,"AVERAGE",IF(H126&gt;74%,"GOOD")))))</f>
        <v>EXCELLENT</v>
      </c>
    </row>
    <row r="127" spans="1:9" x14ac:dyDescent="0.25">
      <c r="A127" s="131"/>
      <c r="B127" s="35">
        <f t="shared" si="6"/>
        <v>120</v>
      </c>
      <c r="C127" s="36" t="s">
        <v>207</v>
      </c>
      <c r="D127" s="56" t="s">
        <v>22</v>
      </c>
      <c r="E127" s="16">
        <v>4</v>
      </c>
      <c r="F127" s="16">
        <f t="shared" si="5"/>
        <v>4</v>
      </c>
      <c r="G127" s="61">
        <f t="shared" si="7"/>
        <v>4</v>
      </c>
      <c r="H127" s="135"/>
      <c r="I127" s="138"/>
    </row>
    <row r="128" spans="1:9" x14ac:dyDescent="0.25">
      <c r="A128" s="132"/>
      <c r="B128" s="35">
        <f t="shared" si="6"/>
        <v>121</v>
      </c>
      <c r="C128" s="36" t="s">
        <v>217</v>
      </c>
      <c r="D128" s="56" t="s">
        <v>22</v>
      </c>
      <c r="E128" s="16">
        <v>4</v>
      </c>
      <c r="F128" s="16">
        <f t="shared" si="5"/>
        <v>4</v>
      </c>
      <c r="G128" s="61">
        <f t="shared" si="7"/>
        <v>4</v>
      </c>
      <c r="H128" s="135"/>
      <c r="I128" s="138"/>
    </row>
    <row r="129" spans="1:9" x14ac:dyDescent="0.25">
      <c r="A129" s="132"/>
      <c r="B129" s="35">
        <f t="shared" si="6"/>
        <v>122</v>
      </c>
      <c r="C129" s="36" t="s">
        <v>209</v>
      </c>
      <c r="D129" s="56" t="s">
        <v>22</v>
      </c>
      <c r="E129" s="16">
        <v>4</v>
      </c>
      <c r="F129" s="16">
        <f t="shared" si="5"/>
        <v>4</v>
      </c>
      <c r="G129" s="61">
        <f t="shared" si="7"/>
        <v>4</v>
      </c>
      <c r="H129" s="135"/>
      <c r="I129" s="138"/>
    </row>
    <row r="130" spans="1:9" x14ac:dyDescent="0.25">
      <c r="A130" s="132"/>
      <c r="B130" s="35">
        <f t="shared" si="6"/>
        <v>123</v>
      </c>
      <c r="C130" s="99" t="s">
        <v>211</v>
      </c>
      <c r="D130" s="91" t="s">
        <v>19</v>
      </c>
      <c r="E130" s="16">
        <v>4</v>
      </c>
      <c r="F130" s="16">
        <f t="shared" si="5"/>
        <v>4</v>
      </c>
      <c r="G130" s="61">
        <f t="shared" si="7"/>
        <v>2</v>
      </c>
      <c r="H130" s="135"/>
      <c r="I130" s="138"/>
    </row>
    <row r="131" spans="1:9" x14ac:dyDescent="0.25">
      <c r="A131" s="132"/>
      <c r="B131" s="35">
        <f t="shared" si="6"/>
        <v>124</v>
      </c>
      <c r="C131" s="36" t="s">
        <v>219</v>
      </c>
      <c r="D131" s="56" t="s">
        <v>22</v>
      </c>
      <c r="E131" s="16">
        <v>4</v>
      </c>
      <c r="F131" s="16">
        <f t="shared" si="5"/>
        <v>4</v>
      </c>
      <c r="G131" s="61">
        <f t="shared" si="7"/>
        <v>4</v>
      </c>
      <c r="H131" s="135"/>
      <c r="I131" s="138"/>
    </row>
    <row r="132" spans="1:9" x14ac:dyDescent="0.25">
      <c r="A132" s="132"/>
      <c r="B132" s="35">
        <f t="shared" si="6"/>
        <v>125</v>
      </c>
      <c r="C132" s="36" t="s">
        <v>218</v>
      </c>
      <c r="D132" s="56" t="s">
        <v>22</v>
      </c>
      <c r="E132" s="16">
        <v>4</v>
      </c>
      <c r="F132" s="16">
        <f t="shared" si="5"/>
        <v>4</v>
      </c>
      <c r="G132" s="61">
        <f t="shared" si="7"/>
        <v>4</v>
      </c>
      <c r="H132" s="135"/>
      <c r="I132" s="138"/>
    </row>
    <row r="133" spans="1:9" x14ac:dyDescent="0.25">
      <c r="A133" s="132"/>
      <c r="B133" s="35">
        <f t="shared" si="6"/>
        <v>126</v>
      </c>
      <c r="C133" s="36" t="s">
        <v>215</v>
      </c>
      <c r="D133" s="56" t="s">
        <v>22</v>
      </c>
      <c r="E133" s="16">
        <v>4</v>
      </c>
      <c r="F133" s="16">
        <f t="shared" si="5"/>
        <v>4</v>
      </c>
      <c r="G133" s="61">
        <f t="shared" si="7"/>
        <v>4</v>
      </c>
      <c r="H133" s="135"/>
      <c r="I133" s="138"/>
    </row>
    <row r="134" spans="1:9" x14ac:dyDescent="0.25">
      <c r="A134" s="132"/>
      <c r="B134" s="35">
        <f t="shared" si="6"/>
        <v>127</v>
      </c>
      <c r="C134" s="36" t="s">
        <v>214</v>
      </c>
      <c r="D134" s="56" t="s">
        <v>22</v>
      </c>
      <c r="E134" s="16">
        <v>4</v>
      </c>
      <c r="F134" s="16">
        <f t="shared" si="5"/>
        <v>4</v>
      </c>
      <c r="G134" s="61">
        <f t="shared" si="7"/>
        <v>4</v>
      </c>
      <c r="H134" s="135"/>
      <c r="I134" s="138"/>
    </row>
    <row r="135" spans="1:9" x14ac:dyDescent="0.25">
      <c r="A135" s="132"/>
      <c r="B135" s="38">
        <f t="shared" si="6"/>
        <v>128</v>
      </c>
      <c r="C135" s="36" t="s">
        <v>213</v>
      </c>
      <c r="D135" s="56" t="s">
        <v>22</v>
      </c>
      <c r="E135" s="16">
        <v>4</v>
      </c>
      <c r="F135" s="16">
        <f t="shared" si="5"/>
        <v>4</v>
      </c>
      <c r="G135" s="61">
        <f t="shared" si="7"/>
        <v>4</v>
      </c>
      <c r="H135" s="135"/>
      <c r="I135" s="138"/>
    </row>
    <row r="136" spans="1:9" x14ac:dyDescent="0.25">
      <c r="A136" s="132"/>
      <c r="B136" s="35">
        <f t="shared" si="6"/>
        <v>129</v>
      </c>
      <c r="C136" s="36" t="s">
        <v>212</v>
      </c>
      <c r="D136" s="56" t="s">
        <v>22</v>
      </c>
      <c r="E136" s="16">
        <v>4</v>
      </c>
      <c r="F136" s="16">
        <f t="shared" ref="F136:F168" si="8">IF(D136="","",IF(D136="Yes",E136,IF(D136="Tending to Yes",E136,IF(D136="Tending to No",E136,IF(D136="No",E136,)))))</f>
        <v>4</v>
      </c>
      <c r="G136" s="61">
        <f t="shared" si="7"/>
        <v>4</v>
      </c>
      <c r="H136" s="135"/>
      <c r="I136" s="138"/>
    </row>
    <row r="137" spans="1:9" x14ac:dyDescent="0.25">
      <c r="A137" s="132"/>
      <c r="B137" s="38">
        <f t="shared" si="6"/>
        <v>130</v>
      </c>
      <c r="C137" s="36" t="s">
        <v>206</v>
      </c>
      <c r="D137" s="56" t="s">
        <v>22</v>
      </c>
      <c r="E137" s="16">
        <v>4</v>
      </c>
      <c r="F137" s="16">
        <f t="shared" si="8"/>
        <v>4</v>
      </c>
      <c r="G137" s="61">
        <f t="shared" si="7"/>
        <v>4</v>
      </c>
      <c r="H137" s="135"/>
      <c r="I137" s="138"/>
    </row>
    <row r="138" spans="1:9" x14ac:dyDescent="0.25">
      <c r="A138" s="132"/>
      <c r="B138" s="35">
        <f t="shared" ref="B138:B168" si="9">+B137+1</f>
        <v>131</v>
      </c>
      <c r="C138" s="36" t="s">
        <v>216</v>
      </c>
      <c r="D138" s="56" t="s">
        <v>22</v>
      </c>
      <c r="E138" s="16">
        <v>4</v>
      </c>
      <c r="F138" s="16">
        <f t="shared" si="8"/>
        <v>4</v>
      </c>
      <c r="G138" s="61">
        <f t="shared" ref="G138:G168" si="10">IF(E138="NA","NA",IF(D138="Yes",E138,IF(D138="Tending to yes",E138/2,IF(D138="Tending to No",F138/4,IF(D138="No",0,IF(D138="","Input Status"))))))</f>
        <v>4</v>
      </c>
      <c r="H138" s="135"/>
      <c r="I138" s="138"/>
    </row>
    <row r="139" spans="1:9" x14ac:dyDescent="0.25">
      <c r="A139" s="132"/>
      <c r="B139" s="38">
        <f t="shared" si="9"/>
        <v>132</v>
      </c>
      <c r="C139" s="36" t="s">
        <v>210</v>
      </c>
      <c r="D139" s="56" t="s">
        <v>22</v>
      </c>
      <c r="E139" s="16">
        <v>4</v>
      </c>
      <c r="F139" s="16">
        <f t="shared" si="8"/>
        <v>4</v>
      </c>
      <c r="G139" s="61">
        <f t="shared" si="10"/>
        <v>4</v>
      </c>
      <c r="H139" s="135"/>
      <c r="I139" s="138"/>
    </row>
    <row r="140" spans="1:9" ht="17.25" customHeight="1" thickBot="1" x14ac:dyDescent="0.3">
      <c r="A140" s="133"/>
      <c r="B140" s="37">
        <f t="shared" si="9"/>
        <v>133</v>
      </c>
      <c r="C140" s="40" t="s">
        <v>224</v>
      </c>
      <c r="D140" s="54" t="s">
        <v>22</v>
      </c>
      <c r="E140" s="60">
        <v>4</v>
      </c>
      <c r="F140" s="55">
        <f t="shared" si="8"/>
        <v>4</v>
      </c>
      <c r="G140" s="21">
        <f t="shared" si="10"/>
        <v>4</v>
      </c>
      <c r="H140" s="136"/>
      <c r="I140" s="140"/>
    </row>
    <row r="141" spans="1:9" x14ac:dyDescent="0.25">
      <c r="A141" s="129" t="s">
        <v>14</v>
      </c>
      <c r="B141" s="38">
        <f t="shared" si="9"/>
        <v>134</v>
      </c>
      <c r="C141" s="39" t="s">
        <v>222</v>
      </c>
      <c r="D141" s="52" t="s">
        <v>22</v>
      </c>
      <c r="E141" s="53">
        <v>4</v>
      </c>
      <c r="F141" s="53">
        <f t="shared" si="8"/>
        <v>4</v>
      </c>
      <c r="G141" s="60">
        <f t="shared" si="10"/>
        <v>4</v>
      </c>
      <c r="H141" s="134">
        <f>IF(SUMPRODUCT(F141:F145)=0,"NA",(SUMPRODUCT(G141:G145)/SUMPRODUCT(F141:F145)))</f>
        <v>0.5</v>
      </c>
      <c r="I141" s="137" t="str">
        <f>IF(H141="NA","NA",IF(H141&gt;90%,"EXCELLENT",IF(H141&lt;60%,"BELOW AVERAGE",IF(H141&lt;75%,"AVERAGE",IF(H141&gt;74%,"GOOD")))))</f>
        <v>BELOW AVERAGE</v>
      </c>
    </row>
    <row r="142" spans="1:9" x14ac:dyDescent="0.25">
      <c r="A142" s="130"/>
      <c r="B142" s="38">
        <f t="shared" si="9"/>
        <v>135</v>
      </c>
      <c r="C142" s="100" t="s">
        <v>220</v>
      </c>
      <c r="D142" s="112" t="s">
        <v>21</v>
      </c>
      <c r="E142" s="16">
        <v>4</v>
      </c>
      <c r="F142" s="16">
        <f t="shared" si="8"/>
        <v>4</v>
      </c>
      <c r="G142" s="16">
        <f t="shared" si="10"/>
        <v>0</v>
      </c>
      <c r="H142" s="135"/>
      <c r="I142" s="159"/>
    </row>
    <row r="143" spans="1:9" ht="25.5" x14ac:dyDescent="0.25">
      <c r="A143" s="130"/>
      <c r="B143" s="38">
        <f t="shared" si="9"/>
        <v>136</v>
      </c>
      <c r="C143" s="107" t="s">
        <v>223</v>
      </c>
      <c r="D143" s="91" t="s">
        <v>19</v>
      </c>
      <c r="E143" s="16">
        <v>4</v>
      </c>
      <c r="F143" s="16">
        <f t="shared" si="8"/>
        <v>4</v>
      </c>
      <c r="G143" s="16">
        <f t="shared" si="10"/>
        <v>2</v>
      </c>
      <c r="H143" s="135"/>
      <c r="I143" s="159"/>
    </row>
    <row r="144" spans="1:9" x14ac:dyDescent="0.25">
      <c r="A144" s="131"/>
      <c r="B144" s="35">
        <f>+B141+1</f>
        <v>135</v>
      </c>
      <c r="C144" s="36" t="s">
        <v>64</v>
      </c>
      <c r="D144" s="56"/>
      <c r="E144" s="16" t="s">
        <v>77</v>
      </c>
      <c r="F144" s="16" t="str">
        <f t="shared" si="8"/>
        <v/>
      </c>
      <c r="G144" s="61" t="str">
        <f t="shared" si="10"/>
        <v>NA</v>
      </c>
      <c r="H144" s="135"/>
      <c r="I144" s="138"/>
    </row>
    <row r="145" spans="1:9" ht="15.75" thickBot="1" x14ac:dyDescent="0.3">
      <c r="A145" s="133"/>
      <c r="B145" s="37">
        <f t="shared" si="9"/>
        <v>136</v>
      </c>
      <c r="C145" s="104" t="s">
        <v>221</v>
      </c>
      <c r="D145" s="91" t="s">
        <v>19</v>
      </c>
      <c r="E145" s="55">
        <v>4</v>
      </c>
      <c r="F145" s="55">
        <f t="shared" si="8"/>
        <v>4</v>
      </c>
      <c r="G145" s="21">
        <f t="shared" si="10"/>
        <v>2</v>
      </c>
      <c r="H145" s="136"/>
      <c r="I145" s="140"/>
    </row>
    <row r="146" spans="1:9" ht="14.45" customHeight="1" x14ac:dyDescent="0.25">
      <c r="A146" s="129" t="s">
        <v>18</v>
      </c>
      <c r="B146" s="38">
        <f t="shared" si="9"/>
        <v>137</v>
      </c>
      <c r="C146" s="39" t="s">
        <v>66</v>
      </c>
      <c r="D146" s="52"/>
      <c r="E146" s="53" t="s">
        <v>77</v>
      </c>
      <c r="F146" s="53" t="str">
        <f t="shared" si="8"/>
        <v/>
      </c>
      <c r="G146" s="61" t="str">
        <f t="shared" si="10"/>
        <v>NA</v>
      </c>
      <c r="H146" s="134" t="str">
        <f>IF(SUMPRODUCT(F146:F151)=0,"NA",(SUMPRODUCT(G146:G151)/SUMPRODUCT(F146:F151)))</f>
        <v>NA</v>
      </c>
      <c r="I146" s="137" t="str">
        <f>IF(H146="NA","NA",IF(H146&gt;90%,"EXCELLENT",IF(H146&lt;60%,"BELOW AVERAGE",IF(H146&lt;75%,"AVERAGE",IF(H146&gt;74%,"GOOD")))))</f>
        <v>NA</v>
      </c>
    </row>
    <row r="147" spans="1:9" ht="14.45" customHeight="1" x14ac:dyDescent="0.25">
      <c r="A147" s="130"/>
      <c r="B147" s="38">
        <f t="shared" si="9"/>
        <v>138</v>
      </c>
      <c r="C147" s="36" t="s">
        <v>225</v>
      </c>
      <c r="D147" s="56"/>
      <c r="E147" s="16" t="s">
        <v>77</v>
      </c>
      <c r="F147" s="16" t="str">
        <f t="shared" si="8"/>
        <v/>
      </c>
      <c r="G147" s="61" t="str">
        <f t="shared" si="10"/>
        <v>NA</v>
      </c>
      <c r="H147" s="135"/>
      <c r="I147" s="159"/>
    </row>
    <row r="148" spans="1:9" ht="14.45" customHeight="1" x14ac:dyDescent="0.25">
      <c r="A148" s="130"/>
      <c r="B148" s="38">
        <f t="shared" si="9"/>
        <v>139</v>
      </c>
      <c r="C148" s="36" t="s">
        <v>227</v>
      </c>
      <c r="D148" s="56"/>
      <c r="E148" s="16" t="s">
        <v>77</v>
      </c>
      <c r="F148" s="16" t="str">
        <f t="shared" si="8"/>
        <v/>
      </c>
      <c r="G148" s="61" t="str">
        <f t="shared" si="10"/>
        <v>NA</v>
      </c>
      <c r="H148" s="135"/>
      <c r="I148" s="159"/>
    </row>
    <row r="149" spans="1:9" ht="14.45" customHeight="1" x14ac:dyDescent="0.25">
      <c r="A149" s="130"/>
      <c r="B149" s="38">
        <f t="shared" si="9"/>
        <v>140</v>
      </c>
      <c r="C149" s="36" t="s">
        <v>226</v>
      </c>
      <c r="D149" s="56"/>
      <c r="E149" s="16" t="s">
        <v>77</v>
      </c>
      <c r="F149" s="16" t="str">
        <f t="shared" si="8"/>
        <v/>
      </c>
      <c r="G149" s="61" t="str">
        <f t="shared" si="10"/>
        <v>NA</v>
      </c>
      <c r="H149" s="135"/>
      <c r="I149" s="159"/>
    </row>
    <row r="150" spans="1:9" ht="14.45" customHeight="1" x14ac:dyDescent="0.25">
      <c r="A150" s="131"/>
      <c r="B150" s="35">
        <f>+B146+1</f>
        <v>138</v>
      </c>
      <c r="C150" s="36" t="s">
        <v>65</v>
      </c>
      <c r="D150" s="56"/>
      <c r="E150" s="16" t="s">
        <v>77</v>
      </c>
      <c r="F150" s="16" t="str">
        <f t="shared" si="8"/>
        <v/>
      </c>
      <c r="G150" s="61" t="str">
        <f t="shared" si="10"/>
        <v>NA</v>
      </c>
      <c r="H150" s="135"/>
      <c r="I150" s="138"/>
    </row>
    <row r="151" spans="1:9" ht="15" customHeight="1" thickBot="1" x14ac:dyDescent="0.3">
      <c r="A151" s="133"/>
      <c r="B151" s="37">
        <f t="shared" si="9"/>
        <v>139</v>
      </c>
      <c r="C151" s="40" t="s">
        <v>235</v>
      </c>
      <c r="D151" s="54"/>
      <c r="E151" s="55" t="s">
        <v>77</v>
      </c>
      <c r="F151" s="55" t="str">
        <f t="shared" si="8"/>
        <v/>
      </c>
      <c r="G151" s="21" t="str">
        <f t="shared" si="10"/>
        <v>NA</v>
      </c>
      <c r="H151" s="136"/>
      <c r="I151" s="140"/>
    </row>
    <row r="152" spans="1:9" ht="14.45" customHeight="1" x14ac:dyDescent="0.25">
      <c r="A152" s="129" t="s">
        <v>68</v>
      </c>
      <c r="B152" s="38">
        <f t="shared" si="9"/>
        <v>140</v>
      </c>
      <c r="C152" s="108" t="s">
        <v>230</v>
      </c>
      <c r="D152" s="96" t="s">
        <v>19</v>
      </c>
      <c r="E152" s="53">
        <v>5</v>
      </c>
      <c r="F152" s="20">
        <f t="shared" si="8"/>
        <v>5</v>
      </c>
      <c r="G152" s="61">
        <f t="shared" si="10"/>
        <v>2.5</v>
      </c>
      <c r="H152" s="134">
        <f>IF(SUMPRODUCT(F152:F160)=0,"NA",(SUMPRODUCT(G152:G160)/SUMPRODUCT(F152:F160)))</f>
        <v>0.72</v>
      </c>
      <c r="I152" s="137" t="str">
        <f>IF(H152="NA","NA",IF(H152&gt;90%,"EXCELLENT",IF(H152&lt;60%,"BELOW AVERAGE",IF(H152&lt;75%,"AVERAGE",IF(H152&gt;74%,"GOOD")))))</f>
        <v>AVERAGE</v>
      </c>
    </row>
    <row r="153" spans="1:9" ht="14.45" customHeight="1" x14ac:dyDescent="0.25">
      <c r="A153" s="130"/>
      <c r="B153" s="35">
        <f t="shared" si="9"/>
        <v>141</v>
      </c>
      <c r="C153" s="99" t="s">
        <v>233</v>
      </c>
      <c r="D153" s="97" t="s">
        <v>19</v>
      </c>
      <c r="E153" s="16">
        <v>5</v>
      </c>
      <c r="F153" s="16">
        <f t="shared" si="8"/>
        <v>5</v>
      </c>
      <c r="G153" s="61">
        <f t="shared" si="10"/>
        <v>2.5</v>
      </c>
      <c r="H153" s="135"/>
      <c r="I153" s="138"/>
    </row>
    <row r="154" spans="1:9" ht="14.45" customHeight="1" x14ac:dyDescent="0.25">
      <c r="A154" s="130"/>
      <c r="B154" s="35">
        <f t="shared" si="9"/>
        <v>142</v>
      </c>
      <c r="C154" s="36" t="s">
        <v>236</v>
      </c>
      <c r="D154" s="51" t="s">
        <v>22</v>
      </c>
      <c r="E154" s="16">
        <v>5</v>
      </c>
      <c r="F154" s="16">
        <f t="shared" si="8"/>
        <v>5</v>
      </c>
      <c r="G154" s="61">
        <v>3</v>
      </c>
      <c r="H154" s="135"/>
      <c r="I154" s="138"/>
    </row>
    <row r="155" spans="1:9" ht="14.45" customHeight="1" x14ac:dyDescent="0.25">
      <c r="A155" s="131"/>
      <c r="B155" s="35">
        <f t="shared" si="9"/>
        <v>143</v>
      </c>
      <c r="C155" s="36" t="s">
        <v>234</v>
      </c>
      <c r="D155" s="51" t="s">
        <v>22</v>
      </c>
      <c r="E155" s="16">
        <v>5</v>
      </c>
      <c r="F155" s="16">
        <f t="shared" si="8"/>
        <v>5</v>
      </c>
      <c r="G155" s="61">
        <f t="shared" si="10"/>
        <v>5</v>
      </c>
      <c r="H155" s="135"/>
      <c r="I155" s="138"/>
    </row>
    <row r="156" spans="1:9" ht="14.45" customHeight="1" x14ac:dyDescent="0.25">
      <c r="A156" s="132"/>
      <c r="B156" s="35">
        <f t="shared" si="9"/>
        <v>144</v>
      </c>
      <c r="C156" s="36" t="s">
        <v>95</v>
      </c>
      <c r="D156" s="51"/>
      <c r="E156" s="16" t="s">
        <v>77</v>
      </c>
      <c r="F156" s="16" t="str">
        <f t="shared" si="8"/>
        <v/>
      </c>
      <c r="G156" s="61" t="str">
        <f t="shared" si="10"/>
        <v>NA</v>
      </c>
      <c r="H156" s="135"/>
      <c r="I156" s="138"/>
    </row>
    <row r="157" spans="1:9" ht="14.45" customHeight="1" x14ac:dyDescent="0.25">
      <c r="A157" s="132"/>
      <c r="B157" s="35">
        <f t="shared" si="9"/>
        <v>145</v>
      </c>
      <c r="C157" s="36" t="s">
        <v>231</v>
      </c>
      <c r="D157" s="51" t="s">
        <v>22</v>
      </c>
      <c r="E157" s="60">
        <v>5</v>
      </c>
      <c r="F157" s="16">
        <f t="shared" si="8"/>
        <v>5</v>
      </c>
      <c r="G157" s="61">
        <f t="shared" si="10"/>
        <v>5</v>
      </c>
      <c r="H157" s="135"/>
      <c r="I157" s="138"/>
    </row>
    <row r="158" spans="1:9" ht="14.45" customHeight="1" x14ac:dyDescent="0.25">
      <c r="A158" s="132"/>
      <c r="B158" s="35">
        <f t="shared" si="9"/>
        <v>146</v>
      </c>
      <c r="C158" s="36" t="s">
        <v>237</v>
      </c>
      <c r="D158" s="51"/>
      <c r="E158" s="16" t="s">
        <v>77</v>
      </c>
      <c r="F158" s="16" t="str">
        <f t="shared" si="8"/>
        <v/>
      </c>
      <c r="G158" s="61" t="str">
        <f t="shared" si="10"/>
        <v>NA</v>
      </c>
      <c r="H158" s="135"/>
      <c r="I158" s="138"/>
    </row>
    <row r="159" spans="1:9" ht="14.45" customHeight="1" x14ac:dyDescent="0.25">
      <c r="A159" s="132"/>
      <c r="B159" s="35">
        <f t="shared" si="9"/>
        <v>147</v>
      </c>
      <c r="C159" s="36" t="s">
        <v>232</v>
      </c>
      <c r="D159" s="51"/>
      <c r="E159" s="16" t="s">
        <v>77</v>
      </c>
      <c r="F159" s="16" t="str">
        <f t="shared" si="8"/>
        <v/>
      </c>
      <c r="G159" s="61" t="str">
        <f t="shared" si="10"/>
        <v>NA</v>
      </c>
      <c r="H159" s="135"/>
      <c r="I159" s="139"/>
    </row>
    <row r="160" spans="1:9" ht="15" customHeight="1" thickBot="1" x14ac:dyDescent="0.3">
      <c r="A160" s="133"/>
      <c r="B160" s="35">
        <f t="shared" si="9"/>
        <v>148</v>
      </c>
      <c r="C160" s="40" t="s">
        <v>239</v>
      </c>
      <c r="D160" s="81"/>
      <c r="E160" s="61" t="s">
        <v>77</v>
      </c>
      <c r="F160" s="21" t="str">
        <f t="shared" si="8"/>
        <v/>
      </c>
      <c r="G160" s="21" t="str">
        <f t="shared" si="10"/>
        <v>NA</v>
      </c>
      <c r="H160" s="136"/>
      <c r="I160" s="140"/>
    </row>
    <row r="161" spans="1:9" ht="15.75" thickBot="1" x14ac:dyDescent="0.3">
      <c r="A161" s="141" t="s">
        <v>51</v>
      </c>
      <c r="B161" s="33">
        <f t="shared" si="9"/>
        <v>149</v>
      </c>
      <c r="C161" s="108" t="s">
        <v>240</v>
      </c>
      <c r="D161" s="98" t="s">
        <v>19</v>
      </c>
      <c r="E161" s="20">
        <v>4</v>
      </c>
      <c r="F161" s="20">
        <f t="shared" si="8"/>
        <v>4</v>
      </c>
      <c r="G161" s="61">
        <f t="shared" si="10"/>
        <v>2</v>
      </c>
      <c r="H161" s="134">
        <f xml:space="preserve"> IF(SUMPRODUCT(F161:F168)=0,"NA",(SUMPRODUCT(G161:G168)/SUMPRODUCT(F161:F168)))</f>
        <v>0.875</v>
      </c>
      <c r="I161" s="137" t="str">
        <f>IF(H161="NA","NA",IF(H161&gt;90%,"EXCELLENT",IF(H161&lt;60%,"BELOW AVERAGE",IF(H161&lt;75%,"AVERAGE",IF(H161&gt;74%,"GOOD")))))</f>
        <v>GOOD</v>
      </c>
    </row>
    <row r="162" spans="1:9" x14ac:dyDescent="0.25">
      <c r="A162" s="142"/>
      <c r="B162" s="35">
        <f t="shared" si="9"/>
        <v>150</v>
      </c>
      <c r="C162" s="99" t="s">
        <v>241</v>
      </c>
      <c r="D162" s="98" t="s">
        <v>19</v>
      </c>
      <c r="E162" s="16">
        <v>4</v>
      </c>
      <c r="F162" s="16">
        <f t="shared" si="8"/>
        <v>4</v>
      </c>
      <c r="G162" s="61">
        <f t="shared" si="10"/>
        <v>2</v>
      </c>
      <c r="H162" s="135"/>
      <c r="I162" s="138"/>
    </row>
    <row r="163" spans="1:9" x14ac:dyDescent="0.25">
      <c r="A163" s="142"/>
      <c r="B163" s="35">
        <f t="shared" si="9"/>
        <v>151</v>
      </c>
      <c r="C163" s="36" t="s">
        <v>69</v>
      </c>
      <c r="D163" s="51" t="s">
        <v>22</v>
      </c>
      <c r="E163" s="16">
        <v>4</v>
      </c>
      <c r="F163" s="16">
        <f t="shared" si="8"/>
        <v>4</v>
      </c>
      <c r="G163" s="61">
        <f t="shared" si="10"/>
        <v>4</v>
      </c>
      <c r="H163" s="135"/>
      <c r="I163" s="138"/>
    </row>
    <row r="164" spans="1:9" x14ac:dyDescent="0.25">
      <c r="A164" s="142"/>
      <c r="B164" s="35">
        <f t="shared" si="9"/>
        <v>152</v>
      </c>
      <c r="C164" s="36" t="s">
        <v>242</v>
      </c>
      <c r="D164" s="51" t="s">
        <v>22</v>
      </c>
      <c r="E164" s="16">
        <v>4</v>
      </c>
      <c r="F164" s="16">
        <f t="shared" si="8"/>
        <v>4</v>
      </c>
      <c r="G164" s="61">
        <f t="shared" si="10"/>
        <v>4</v>
      </c>
      <c r="H164" s="135"/>
      <c r="I164" s="138"/>
    </row>
    <row r="165" spans="1:9" x14ac:dyDescent="0.25">
      <c r="A165" s="142"/>
      <c r="B165" s="35">
        <f t="shared" si="9"/>
        <v>153</v>
      </c>
      <c r="C165" s="36" t="s">
        <v>57</v>
      </c>
      <c r="D165" s="51" t="s">
        <v>22</v>
      </c>
      <c r="E165" s="16">
        <v>4</v>
      </c>
      <c r="F165" s="16">
        <f t="shared" si="8"/>
        <v>4</v>
      </c>
      <c r="G165" s="61">
        <f t="shared" si="10"/>
        <v>4</v>
      </c>
      <c r="H165" s="135"/>
      <c r="I165" s="138"/>
    </row>
    <row r="166" spans="1:9" x14ac:dyDescent="0.25">
      <c r="A166" s="142"/>
      <c r="B166" s="35">
        <f t="shared" si="9"/>
        <v>154</v>
      </c>
      <c r="C166" s="36" t="s">
        <v>243</v>
      </c>
      <c r="D166" s="51" t="s">
        <v>22</v>
      </c>
      <c r="E166" s="16">
        <v>4</v>
      </c>
      <c r="F166" s="16">
        <f t="shared" si="8"/>
        <v>4</v>
      </c>
      <c r="G166" s="61">
        <f t="shared" si="10"/>
        <v>4</v>
      </c>
      <c r="H166" s="135"/>
      <c r="I166" s="138"/>
    </row>
    <row r="167" spans="1:9" x14ac:dyDescent="0.25">
      <c r="A167" s="142"/>
      <c r="B167" s="35">
        <f t="shared" si="9"/>
        <v>155</v>
      </c>
      <c r="C167" s="36" t="s">
        <v>245</v>
      </c>
      <c r="D167" s="51" t="s">
        <v>22</v>
      </c>
      <c r="E167" s="16">
        <v>4</v>
      </c>
      <c r="F167" s="16">
        <f t="shared" si="8"/>
        <v>4</v>
      </c>
      <c r="G167" s="61">
        <f t="shared" si="10"/>
        <v>4</v>
      </c>
      <c r="H167" s="135"/>
      <c r="I167" s="138"/>
    </row>
    <row r="168" spans="1:9" ht="15.75" thickBot="1" x14ac:dyDescent="0.3">
      <c r="A168" s="143"/>
      <c r="B168" s="37">
        <f t="shared" si="9"/>
        <v>156</v>
      </c>
      <c r="C168" s="42" t="s">
        <v>244</v>
      </c>
      <c r="D168" s="67" t="s">
        <v>22</v>
      </c>
      <c r="E168" s="55">
        <v>4</v>
      </c>
      <c r="F168" s="63">
        <f t="shared" si="8"/>
        <v>4</v>
      </c>
      <c r="G168" s="21">
        <f t="shared" si="10"/>
        <v>4</v>
      </c>
      <c r="H168" s="136"/>
      <c r="I168" s="140"/>
    </row>
    <row r="169" spans="1:9" ht="16.5" x14ac:dyDescent="0.3">
      <c r="A169" s="19"/>
      <c r="D169" s="9"/>
      <c r="E169" s="9"/>
      <c r="F169" s="9"/>
      <c r="G169" s="9"/>
      <c r="H169" s="10"/>
      <c r="I169" s="12"/>
    </row>
    <row r="170" spans="1:9" ht="17.25" thickBot="1" x14ac:dyDescent="0.35">
      <c r="A170" s="19"/>
      <c r="D170" s="9"/>
      <c r="E170" s="9"/>
      <c r="F170" s="9"/>
      <c r="G170" s="9"/>
      <c r="H170" s="10"/>
      <c r="I170" s="12"/>
    </row>
    <row r="171" spans="1:9" ht="18.75" thickBot="1" x14ac:dyDescent="0.35">
      <c r="A171" s="119" t="s">
        <v>90</v>
      </c>
      <c r="B171" s="120"/>
      <c r="C171" s="32">
        <f>IF(SUMPRODUCT(F8:F168)=0,"NA",(SUMPRODUCT(G8:G168)/SUMPRODUCT(F8:F168)))</f>
        <v>0.67030360531309297</v>
      </c>
      <c r="D171" s="121" t="s">
        <v>91</v>
      </c>
      <c r="E171" s="121"/>
      <c r="F171" s="121"/>
      <c r="G171" s="122"/>
      <c r="H171" s="123" t="s">
        <v>92</v>
      </c>
      <c r="I171" s="124"/>
    </row>
    <row r="172" spans="1:9" ht="18" x14ac:dyDescent="0.3">
      <c r="A172" s="19"/>
      <c r="C172" s="31"/>
      <c r="D172" s="9"/>
      <c r="E172" s="9"/>
      <c r="F172" s="9"/>
      <c r="G172" s="9"/>
      <c r="H172" s="10"/>
      <c r="I172" s="12"/>
    </row>
    <row r="173" spans="1:9" ht="18" x14ac:dyDescent="0.3">
      <c r="A173" s="19"/>
      <c r="C173" s="31"/>
      <c r="D173" s="9"/>
      <c r="E173" s="9"/>
      <c r="F173" s="9"/>
      <c r="G173" s="9"/>
      <c r="H173" s="10"/>
      <c r="I173" s="12"/>
    </row>
    <row r="174" spans="1:9" ht="18" x14ac:dyDescent="0.3">
      <c r="A174" s="19"/>
      <c r="C174" s="31"/>
      <c r="D174" s="9"/>
      <c r="E174" s="9"/>
      <c r="F174" s="9"/>
      <c r="G174" s="9"/>
      <c r="H174" s="10"/>
      <c r="I174" s="12"/>
    </row>
    <row r="175" spans="1:9" ht="18" x14ac:dyDescent="0.3">
      <c r="A175" s="19"/>
      <c r="C175" s="31"/>
      <c r="D175" s="9"/>
      <c r="E175" s="126" t="s">
        <v>252</v>
      </c>
      <c r="F175" s="126"/>
      <c r="G175" s="126"/>
      <c r="H175" s="10"/>
      <c r="I175" s="12"/>
    </row>
    <row r="176" spans="1:9" ht="16.5" x14ac:dyDescent="0.3">
      <c r="A176" s="19"/>
      <c r="C176" s="45" t="str">
        <f>A8</f>
        <v>General Safety</v>
      </c>
      <c r="D176" s="89">
        <f>H8</f>
        <v>0.52941176470588236</v>
      </c>
      <c r="E176" s="127">
        <v>0</v>
      </c>
      <c r="F176" s="127"/>
      <c r="G176" s="127"/>
      <c r="H176" s="10"/>
      <c r="I176" s="12"/>
    </row>
    <row r="177" spans="1:9" ht="16.5" x14ac:dyDescent="0.3">
      <c r="A177" s="19"/>
      <c r="C177" s="45" t="str">
        <f>A26</f>
        <v>Housekeeping</v>
      </c>
      <c r="D177" s="89">
        <f>H26</f>
        <v>0.45</v>
      </c>
      <c r="E177" s="127">
        <v>29</v>
      </c>
      <c r="F177" s="127"/>
      <c r="G177" s="127"/>
      <c r="H177" s="10"/>
      <c r="I177" s="12"/>
    </row>
    <row r="178" spans="1:9" ht="16.5" x14ac:dyDescent="0.3">
      <c r="A178" s="19"/>
      <c r="C178" s="44" t="str">
        <f>A42</f>
        <v>Personal Protective Equipment and work apparels</v>
      </c>
      <c r="D178" s="89">
        <f>H42</f>
        <v>0.7321428571428571</v>
      </c>
      <c r="E178" s="127">
        <v>2</v>
      </c>
      <c r="F178" s="127"/>
      <c r="G178" s="127"/>
      <c r="H178" s="10"/>
      <c r="I178" s="12"/>
    </row>
    <row r="179" spans="1:9" ht="16.5" x14ac:dyDescent="0.3">
      <c r="A179" s="19"/>
      <c r="C179" s="44" t="str">
        <f>A49</f>
        <v xml:space="preserve">Work at Height 
</v>
      </c>
      <c r="D179" s="89">
        <f>H49</f>
        <v>0.63888888888888884</v>
      </c>
      <c r="E179" s="127">
        <v>5</v>
      </c>
      <c r="F179" s="127"/>
      <c r="G179" s="127"/>
      <c r="H179" s="10"/>
      <c r="I179" s="12"/>
    </row>
    <row r="180" spans="1:9" ht="15.75" x14ac:dyDescent="0.25">
      <c r="A180" s="19"/>
      <c r="C180" s="44" t="str">
        <f>A66</f>
        <v>Electrical</v>
      </c>
      <c r="D180" s="89">
        <f>H66</f>
        <v>0.63888888888888884</v>
      </c>
      <c r="E180" s="127">
        <v>8</v>
      </c>
      <c r="F180" s="127"/>
      <c r="G180" s="127"/>
      <c r="I180" s="12"/>
    </row>
    <row r="181" spans="1:9" ht="15.75" x14ac:dyDescent="0.25">
      <c r="A181" s="19"/>
      <c r="C181" s="44" t="str">
        <f>A84</f>
        <v>Welding,  cutting and grinding</v>
      </c>
      <c r="D181" s="89">
        <f>H84</f>
        <v>0.7142857142857143</v>
      </c>
      <c r="E181" s="127">
        <v>0</v>
      </c>
      <c r="F181" s="127"/>
      <c r="G181" s="127"/>
      <c r="I181" s="12"/>
    </row>
    <row r="182" spans="1:9" ht="15.75" x14ac:dyDescent="0.25">
      <c r="A182" s="19"/>
      <c r="C182" s="44" t="str">
        <f>A98</f>
        <v>Vehicles, Earth movers &amp; Lifting Equipment</v>
      </c>
      <c r="D182" s="89">
        <f>H98</f>
        <v>0.52272727272727271</v>
      </c>
      <c r="E182" s="127">
        <v>4</v>
      </c>
      <c r="F182" s="127"/>
      <c r="G182" s="127"/>
      <c r="I182" s="12"/>
    </row>
    <row r="183" spans="1:9" ht="15.75" x14ac:dyDescent="0.25">
      <c r="A183" s="19"/>
      <c r="C183" s="44" t="str">
        <f>A109</f>
        <v>Fire Prevention/ Protection</v>
      </c>
      <c r="D183" s="89">
        <f>H109</f>
        <v>0.65625</v>
      </c>
      <c r="E183" s="127">
        <v>1</v>
      </c>
      <c r="F183" s="127"/>
      <c r="G183" s="127"/>
      <c r="I183" s="12"/>
    </row>
    <row r="184" spans="1:9" ht="16.5" x14ac:dyDescent="0.3">
      <c r="A184" s="19"/>
      <c r="C184" s="44" t="str">
        <f>A117</f>
        <v>First Aid &amp; Medical Facilities</v>
      </c>
      <c r="D184" s="89">
        <f>H117</f>
        <v>0.83333333333333337</v>
      </c>
      <c r="E184" s="127">
        <v>0</v>
      </c>
      <c r="F184" s="127"/>
      <c r="G184" s="127"/>
      <c r="H184" s="10"/>
      <c r="I184" s="12"/>
    </row>
    <row r="185" spans="1:9" ht="16.5" x14ac:dyDescent="0.3">
      <c r="A185" s="19"/>
      <c r="C185" s="44" t="str">
        <f>A126</f>
        <v>Welfare Facilities and labour accomodation</v>
      </c>
      <c r="D185" s="89">
        <f>H126</f>
        <v>0.9642857142857143</v>
      </c>
      <c r="E185" s="127">
        <v>2</v>
      </c>
      <c r="F185" s="127"/>
      <c r="G185" s="127"/>
      <c r="H185" s="10"/>
      <c r="I185" s="12"/>
    </row>
    <row r="186" spans="1:9" ht="16.5" x14ac:dyDescent="0.3">
      <c r="A186" s="19"/>
      <c r="C186" s="44" t="str">
        <f>A141</f>
        <v>Environment Aspects</v>
      </c>
      <c r="D186" s="89">
        <f>H141</f>
        <v>0.5</v>
      </c>
      <c r="E186" s="127">
        <v>4</v>
      </c>
      <c r="F186" s="127"/>
      <c r="G186" s="127"/>
      <c r="H186" s="10"/>
      <c r="I186" s="12"/>
    </row>
    <row r="187" spans="1:9" ht="16.5" x14ac:dyDescent="0.3">
      <c r="A187" s="19"/>
      <c r="C187" s="44" t="str">
        <f>A146</f>
        <v>Piling Work</v>
      </c>
      <c r="D187" s="89" t="str">
        <f>H146</f>
        <v>NA</v>
      </c>
      <c r="E187" s="127">
        <v>0</v>
      </c>
      <c r="F187" s="127"/>
      <c r="G187" s="127"/>
      <c r="H187" s="10"/>
      <c r="I187" s="12"/>
    </row>
    <row r="188" spans="1:9" ht="16.5" x14ac:dyDescent="0.3">
      <c r="A188" s="19"/>
      <c r="C188" s="44" t="str">
        <f>A152</f>
        <v>Excavation and confined space job</v>
      </c>
      <c r="D188" s="90">
        <f>H152</f>
        <v>0.72</v>
      </c>
      <c r="E188" s="127">
        <v>1</v>
      </c>
      <c r="F188" s="127"/>
      <c r="G188" s="127"/>
      <c r="H188" s="10"/>
      <c r="I188" s="12"/>
    </row>
    <row r="189" spans="1:9" ht="16.5" x14ac:dyDescent="0.3">
      <c r="A189" s="19"/>
      <c r="C189" s="44" t="str">
        <f>A161</f>
        <v>Hand tools (manual and power driven)</v>
      </c>
      <c r="D189" s="90">
        <f>H161</f>
        <v>0.875</v>
      </c>
      <c r="E189" s="127">
        <v>4</v>
      </c>
      <c r="F189" s="127"/>
      <c r="G189" s="127"/>
      <c r="H189" s="10"/>
      <c r="I189" s="12"/>
    </row>
    <row r="190" spans="1:9" ht="16.5" x14ac:dyDescent="0.3">
      <c r="A190" s="19"/>
      <c r="C190" s="109"/>
      <c r="D190" s="110" t="s">
        <v>253</v>
      </c>
      <c r="E190" s="128">
        <v>60</v>
      </c>
      <c r="F190" s="128"/>
      <c r="G190" s="128"/>
      <c r="H190" s="10"/>
      <c r="I190" s="12"/>
    </row>
    <row r="191" spans="1:9" ht="16.5" x14ac:dyDescent="0.3">
      <c r="A191" s="19"/>
      <c r="D191" s="9"/>
      <c r="E191" s="9"/>
      <c r="F191" s="9"/>
      <c r="G191" s="9"/>
      <c r="H191" s="10"/>
      <c r="I191" s="12"/>
    </row>
    <row r="192" spans="1:9" ht="16.5" x14ac:dyDescent="0.3">
      <c r="A192" s="8"/>
      <c r="D192" s="9"/>
      <c r="E192" s="9"/>
      <c r="F192" s="9"/>
      <c r="G192" s="9"/>
      <c r="H192" s="10"/>
      <c r="I192" s="12"/>
    </row>
    <row r="193" spans="1:14" ht="16.5" x14ac:dyDescent="0.3">
      <c r="A193" s="8"/>
      <c r="C193" s="13" t="s">
        <v>15</v>
      </c>
      <c r="D193" s="9">
        <f>COUNTIF(D8:D145,"Partial")</f>
        <v>0</v>
      </c>
      <c r="E193" s="9"/>
      <c r="F193" s="9"/>
      <c r="G193" s="9"/>
      <c r="H193" s="10"/>
      <c r="I193" s="12"/>
    </row>
    <row r="194" spans="1:14" ht="16.5" x14ac:dyDescent="0.3">
      <c r="A194" s="8"/>
      <c r="C194" s="13" t="s">
        <v>16</v>
      </c>
      <c r="D194" s="9">
        <f>COUNTIF(D8:D145,"No")</f>
        <v>18</v>
      </c>
      <c r="E194" s="9"/>
      <c r="F194" s="9"/>
      <c r="G194" s="9"/>
      <c r="H194" s="10"/>
      <c r="I194" s="12"/>
    </row>
    <row r="195" spans="1:14" ht="16.5" x14ac:dyDescent="0.3">
      <c r="A195" s="8"/>
      <c r="C195" s="14" t="s">
        <v>17</v>
      </c>
      <c r="D195" s="15">
        <f>SUM(D193:D194)</f>
        <v>18</v>
      </c>
      <c r="E195" s="9"/>
      <c r="F195" s="9"/>
      <c r="G195" s="9"/>
      <c r="H195" s="10"/>
      <c r="I195" s="12"/>
    </row>
    <row r="198" spans="1:14" ht="16.5" x14ac:dyDescent="0.25">
      <c r="G198" s="114" t="s">
        <v>22</v>
      </c>
      <c r="H198" s="116"/>
      <c r="I198" s="18" t="s">
        <v>23</v>
      </c>
      <c r="L198" s="125" t="s">
        <v>70</v>
      </c>
      <c r="M198" s="125"/>
      <c r="N198" s="125"/>
    </row>
    <row r="199" spans="1:14" ht="16.5" x14ac:dyDescent="0.25">
      <c r="G199" s="114" t="s">
        <v>19</v>
      </c>
      <c r="H199" s="116"/>
      <c r="I199" s="18" t="s">
        <v>26</v>
      </c>
      <c r="L199" s="22"/>
      <c r="M199" s="22"/>
      <c r="N199" s="22" t="s">
        <v>71</v>
      </c>
    </row>
    <row r="200" spans="1:14" ht="16.5" x14ac:dyDescent="0.25">
      <c r="G200" s="114" t="s">
        <v>20</v>
      </c>
      <c r="H200" s="116"/>
      <c r="I200" s="18" t="s">
        <v>25</v>
      </c>
      <c r="L200" s="23" t="s">
        <v>22</v>
      </c>
      <c r="M200" s="24" t="s">
        <v>23</v>
      </c>
      <c r="N200" s="25">
        <v>1</v>
      </c>
    </row>
    <row r="201" spans="1:14" ht="66" x14ac:dyDescent="0.25">
      <c r="G201" s="114" t="s">
        <v>21</v>
      </c>
      <c r="H201" s="116"/>
      <c r="I201" s="18" t="s">
        <v>24</v>
      </c>
      <c r="L201" s="23" t="s">
        <v>19</v>
      </c>
      <c r="M201" s="24" t="s">
        <v>26</v>
      </c>
      <c r="N201" s="25">
        <v>0.5</v>
      </c>
    </row>
    <row r="202" spans="1:14" ht="49.5" x14ac:dyDescent="0.25">
      <c r="G202" s="28" t="s">
        <v>72</v>
      </c>
      <c r="H202" s="117" t="s">
        <v>93</v>
      </c>
      <c r="I202" s="118"/>
      <c r="L202" s="23" t="s">
        <v>20</v>
      </c>
      <c r="M202" s="24" t="s">
        <v>25</v>
      </c>
      <c r="N202" s="25">
        <v>0.25</v>
      </c>
    </row>
    <row r="203" spans="1:14" ht="16.5" x14ac:dyDescent="0.25">
      <c r="G203" s="29" t="s">
        <v>77</v>
      </c>
      <c r="H203" s="117"/>
      <c r="I203" s="118"/>
      <c r="L203" s="23" t="s">
        <v>21</v>
      </c>
      <c r="M203" s="24" t="s">
        <v>24</v>
      </c>
      <c r="N203" s="22">
        <v>0</v>
      </c>
    </row>
    <row r="204" spans="1:14" x14ac:dyDescent="0.25">
      <c r="G204" s="29">
        <v>1</v>
      </c>
      <c r="H204" s="117"/>
      <c r="I204" s="118"/>
    </row>
    <row r="205" spans="1:14" x14ac:dyDescent="0.25">
      <c r="G205" s="29">
        <v>2</v>
      </c>
      <c r="H205" s="117"/>
      <c r="I205" s="118"/>
    </row>
    <row r="206" spans="1:14" x14ac:dyDescent="0.25">
      <c r="G206" s="29">
        <v>3</v>
      </c>
      <c r="H206" s="117"/>
      <c r="I206" s="118"/>
    </row>
    <row r="207" spans="1:14" x14ac:dyDescent="0.25">
      <c r="G207" s="29">
        <v>4</v>
      </c>
      <c r="H207" s="117"/>
      <c r="I207" s="118"/>
    </row>
    <row r="208" spans="1:14" x14ac:dyDescent="0.25">
      <c r="G208" s="29">
        <v>5</v>
      </c>
      <c r="H208" s="117"/>
      <c r="I208" s="118"/>
    </row>
    <row r="209" spans="1:14" x14ac:dyDescent="0.25">
      <c r="I209" s="47" t="s">
        <v>34</v>
      </c>
      <c r="J209" s="47" t="s">
        <v>35</v>
      </c>
      <c r="K209" s="47" t="s">
        <v>44</v>
      </c>
      <c r="L209" s="47" t="s">
        <v>40</v>
      </c>
      <c r="M209" s="48" t="s">
        <v>46</v>
      </c>
      <c r="N209" s="47" t="s">
        <v>94</v>
      </c>
    </row>
    <row r="210" spans="1:14" ht="16.5" x14ac:dyDescent="0.25">
      <c r="G210" s="114" t="s">
        <v>22</v>
      </c>
      <c r="H210" s="115"/>
      <c r="I210" s="49" t="s">
        <v>39</v>
      </c>
      <c r="J210" s="49">
        <v>0</v>
      </c>
      <c r="K210" s="49" t="s">
        <v>23</v>
      </c>
      <c r="L210" s="49">
        <v>0</v>
      </c>
      <c r="M210" s="49" t="s">
        <v>49</v>
      </c>
      <c r="N210" s="49">
        <v>0</v>
      </c>
    </row>
    <row r="211" spans="1:14" ht="16.5" x14ac:dyDescent="0.25">
      <c r="G211" s="114" t="s">
        <v>19</v>
      </c>
      <c r="H211" s="115"/>
      <c r="I211" s="49" t="s">
        <v>33</v>
      </c>
      <c r="J211" s="49" t="s">
        <v>36</v>
      </c>
      <c r="K211" s="49" t="s">
        <v>26</v>
      </c>
      <c r="L211" s="49" t="s">
        <v>41</v>
      </c>
      <c r="M211" s="49" t="s">
        <v>48</v>
      </c>
      <c r="N211" s="49" t="s">
        <v>41</v>
      </c>
    </row>
    <row r="212" spans="1:14" ht="16.5" x14ac:dyDescent="0.25">
      <c r="G212" s="114" t="s">
        <v>20</v>
      </c>
      <c r="H212" s="115"/>
      <c r="I212" s="49" t="s">
        <v>32</v>
      </c>
      <c r="J212" s="50" t="s">
        <v>37</v>
      </c>
      <c r="K212" s="49" t="s">
        <v>25</v>
      </c>
      <c r="L212" s="29" t="s">
        <v>42</v>
      </c>
      <c r="M212" s="49" t="s">
        <v>47</v>
      </c>
      <c r="N212" s="29" t="s">
        <v>42</v>
      </c>
    </row>
    <row r="213" spans="1:14" ht="16.5" x14ac:dyDescent="0.25">
      <c r="G213" s="114" t="s">
        <v>21</v>
      </c>
      <c r="H213" s="115"/>
      <c r="I213" s="49">
        <v>0</v>
      </c>
      <c r="J213" s="49" t="s">
        <v>38</v>
      </c>
      <c r="K213" s="49" t="s">
        <v>24</v>
      </c>
      <c r="L213" s="29" t="s">
        <v>43</v>
      </c>
      <c r="M213" s="49">
        <v>0</v>
      </c>
      <c r="N213" s="29" t="s">
        <v>43</v>
      </c>
    </row>
    <row r="216" spans="1:14" x14ac:dyDescent="0.25">
      <c r="H216" t="s">
        <v>45</v>
      </c>
    </row>
    <row r="221" spans="1:14" ht="16.5" x14ac:dyDescent="0.25">
      <c r="A221" s="26" t="s">
        <v>22</v>
      </c>
      <c r="B221" s="27"/>
    </row>
    <row r="222" spans="1:14" ht="33" x14ac:dyDescent="0.25">
      <c r="A222" s="26" t="s">
        <v>19</v>
      </c>
      <c r="B222" s="27"/>
    </row>
    <row r="223" spans="1:14" ht="33" x14ac:dyDescent="0.25">
      <c r="A223" s="26" t="s">
        <v>20</v>
      </c>
      <c r="B223" s="27"/>
    </row>
    <row r="224" spans="1:14" ht="16.5" x14ac:dyDescent="0.25">
      <c r="A224" s="26" t="s">
        <v>21</v>
      </c>
      <c r="B224" s="27"/>
    </row>
  </sheetData>
  <mergeCells count="80">
    <mergeCell ref="E185:G185"/>
    <mergeCell ref="E186:G186"/>
    <mergeCell ref="E187:G187"/>
    <mergeCell ref="E188:G188"/>
    <mergeCell ref="E189:G189"/>
    <mergeCell ref="A141:A145"/>
    <mergeCell ref="H141:H145"/>
    <mergeCell ref="I141:I145"/>
    <mergeCell ref="A146:A151"/>
    <mergeCell ref="H146:H151"/>
    <mergeCell ref="I146:I151"/>
    <mergeCell ref="A117:A125"/>
    <mergeCell ref="H117:H125"/>
    <mergeCell ref="I117:I125"/>
    <mergeCell ref="A126:A140"/>
    <mergeCell ref="H126:H140"/>
    <mergeCell ref="I126:I140"/>
    <mergeCell ref="A98:A108"/>
    <mergeCell ref="H98:H108"/>
    <mergeCell ref="I98:I108"/>
    <mergeCell ref="A109:A116"/>
    <mergeCell ref="H109:H116"/>
    <mergeCell ref="I109:I116"/>
    <mergeCell ref="H66:H83"/>
    <mergeCell ref="I66:I83"/>
    <mergeCell ref="A84:A97"/>
    <mergeCell ref="H84:H97"/>
    <mergeCell ref="I84:I97"/>
    <mergeCell ref="A66:A79"/>
    <mergeCell ref="A80:A83"/>
    <mergeCell ref="A42:A48"/>
    <mergeCell ref="H42:H48"/>
    <mergeCell ref="I42:I48"/>
    <mergeCell ref="H49:H65"/>
    <mergeCell ref="I49:I65"/>
    <mergeCell ref="A49:A62"/>
    <mergeCell ref="A63:A65"/>
    <mergeCell ref="A8:A25"/>
    <mergeCell ref="H8:H25"/>
    <mergeCell ref="I8:I25"/>
    <mergeCell ref="A26:A41"/>
    <mergeCell ref="H26:H41"/>
    <mergeCell ref="I26:I41"/>
    <mergeCell ref="A1:I1"/>
    <mergeCell ref="A3:B3"/>
    <mergeCell ref="E3:G3"/>
    <mergeCell ref="H3:I3"/>
    <mergeCell ref="A5:B5"/>
    <mergeCell ref="D5:G5"/>
    <mergeCell ref="H5:I5"/>
    <mergeCell ref="A152:A160"/>
    <mergeCell ref="H152:H160"/>
    <mergeCell ref="I152:I160"/>
    <mergeCell ref="A161:A168"/>
    <mergeCell ref="H161:H168"/>
    <mergeCell ref="I161:I168"/>
    <mergeCell ref="A171:B171"/>
    <mergeCell ref="D171:G171"/>
    <mergeCell ref="H171:I171"/>
    <mergeCell ref="G198:H198"/>
    <mergeCell ref="L198:N198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90:G190"/>
    <mergeCell ref="G211:H211"/>
    <mergeCell ref="G212:H212"/>
    <mergeCell ref="G213:H213"/>
    <mergeCell ref="G199:H199"/>
    <mergeCell ref="G200:H200"/>
    <mergeCell ref="G201:H201"/>
    <mergeCell ref="H202:I208"/>
    <mergeCell ref="G210:H210"/>
  </mergeCells>
  <dataValidations count="5">
    <dataValidation type="list" allowBlank="1" showInputMessage="1" showErrorMessage="1" sqref="H3:I3" xr:uid="{D44A7E06-DFFD-445C-9A94-573B14F557D8}">
      <formula1>$AA$8:$AA$23</formula1>
    </dataValidation>
    <dataValidation type="list" allowBlank="1" showInputMessage="1" showErrorMessage="1" sqref="C3" xr:uid="{BBD3055B-7236-4F48-88FB-DE3A4E80CD77}">
      <formula1>$Y$8:$Y$15</formula1>
    </dataValidation>
    <dataValidation type="list" allowBlank="1" showInputMessage="1" showErrorMessage="1" sqref="D8:D168" xr:uid="{D76DC959-DEEC-4AB3-8C3D-899A7698D5C5}">
      <formula1>$A$221:$A$224</formula1>
    </dataValidation>
    <dataValidation type="list" allowBlank="1" showInputMessage="1" showErrorMessage="1" sqref="E8:E168" xr:uid="{C20F2069-13B3-45C5-BAFC-C029FB9EC8EA}">
      <formula1>$G$203:$G$208</formula1>
    </dataValidation>
    <dataValidation type="list" allowBlank="1" showInputMessage="1" showErrorMessage="1" sqref="E3:G3" xr:uid="{8100B14A-432B-41D9-9B7E-40F7C92280F5}">
      <formula1>$Z$8:$Z$19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S190"/>
  <sheetViews>
    <sheetView topLeftCell="A5" zoomScaleNormal="100" workbookViewId="0">
      <selection activeCell="D17" sqref="D17"/>
    </sheetView>
  </sheetViews>
  <sheetFormatPr defaultRowHeight="15" x14ac:dyDescent="0.25"/>
  <cols>
    <col min="1" max="1" width="48.140625" style="62" customWidth="1"/>
    <col min="2" max="2" width="11.85546875" customWidth="1"/>
    <col min="3" max="3" width="15.140625" customWidth="1"/>
    <col min="4" max="7" width="12.5703125" customWidth="1"/>
    <col min="8" max="8" width="14.42578125" customWidth="1"/>
    <col min="15" max="15" width="49.140625" customWidth="1"/>
    <col min="16" max="17" width="11.140625" customWidth="1"/>
    <col min="18" max="18" width="11" customWidth="1"/>
    <col min="19" max="19" width="11.140625" customWidth="1"/>
  </cols>
  <sheetData>
    <row r="4" spans="1:19" ht="31.5" x14ac:dyDescent="0.25">
      <c r="B4" s="80"/>
      <c r="C4" s="83" t="s">
        <v>96</v>
      </c>
      <c r="O4" s="68"/>
      <c r="P4" s="72" t="s">
        <v>101</v>
      </c>
      <c r="Q4" s="72" t="s">
        <v>100</v>
      </c>
      <c r="R4" s="72" t="s">
        <v>99</v>
      </c>
      <c r="S4" s="72" t="s">
        <v>103</v>
      </c>
    </row>
    <row r="5" spans="1:19" ht="18" customHeight="1" x14ac:dyDescent="0.25">
      <c r="A5" s="45" t="s">
        <v>8</v>
      </c>
      <c r="B5" s="46">
        <f>UTPALAA!D176</f>
        <v>0.52941176470588236</v>
      </c>
      <c r="C5" s="58">
        <f>AVERAGE(B5)</f>
        <v>0.52941176470588236</v>
      </c>
      <c r="D5" s="59"/>
      <c r="O5" s="45" t="s">
        <v>8</v>
      </c>
      <c r="P5" s="73">
        <v>0.82</v>
      </c>
      <c r="Q5" s="73">
        <v>0.81</v>
      </c>
      <c r="R5" s="73">
        <v>0.79</v>
      </c>
      <c r="S5" s="73">
        <v>0.82</v>
      </c>
    </row>
    <row r="6" spans="1:19" ht="18" customHeight="1" x14ac:dyDescent="0.25">
      <c r="A6" s="45" t="s">
        <v>9</v>
      </c>
      <c r="B6" s="57">
        <f>UTPALAA!D177</f>
        <v>0.45</v>
      </c>
      <c r="C6" s="58">
        <f t="shared" ref="C6:C17" si="0">AVERAGE(B6)</f>
        <v>0.45</v>
      </c>
      <c r="D6" s="59"/>
      <c r="O6" s="45" t="s">
        <v>9</v>
      </c>
      <c r="P6" s="73">
        <v>0.84</v>
      </c>
      <c r="Q6" s="73">
        <v>0.86</v>
      </c>
      <c r="R6" s="73">
        <v>0.84</v>
      </c>
      <c r="S6" s="73">
        <v>0.86</v>
      </c>
    </row>
    <row r="7" spans="1:19" ht="18" customHeight="1" x14ac:dyDescent="0.25">
      <c r="A7" s="44" t="s">
        <v>67</v>
      </c>
      <c r="B7" s="57">
        <f>UTPALAA!D178</f>
        <v>0.7321428571428571</v>
      </c>
      <c r="C7" s="58">
        <f t="shared" si="0"/>
        <v>0.7321428571428571</v>
      </c>
      <c r="D7" s="59"/>
      <c r="O7" s="44" t="s">
        <v>67</v>
      </c>
      <c r="P7" s="73">
        <v>0.79</v>
      </c>
      <c r="Q7" s="73">
        <v>0.82</v>
      </c>
      <c r="R7" s="73">
        <v>0.74</v>
      </c>
      <c r="S7" s="73">
        <v>0.78</v>
      </c>
    </row>
    <row r="8" spans="1:19" ht="18" customHeight="1" x14ac:dyDescent="0.25">
      <c r="A8" s="44" t="s">
        <v>10</v>
      </c>
      <c r="B8" s="57">
        <f>UTPALAA!D179</f>
        <v>0.63888888888888884</v>
      </c>
      <c r="C8" s="58">
        <f t="shared" si="0"/>
        <v>0.63888888888888884</v>
      </c>
      <c r="D8" s="59"/>
      <c r="O8" s="44" t="s">
        <v>10</v>
      </c>
      <c r="P8" s="73">
        <v>0.79</v>
      </c>
      <c r="Q8" s="73">
        <v>0.78</v>
      </c>
      <c r="R8" s="73">
        <v>0.76</v>
      </c>
      <c r="S8" s="73">
        <v>0.8</v>
      </c>
    </row>
    <row r="9" spans="1:19" ht="18" customHeight="1" x14ac:dyDescent="0.25">
      <c r="A9" s="44" t="s">
        <v>11</v>
      </c>
      <c r="B9" s="57">
        <f>UTPALAA!D180</f>
        <v>0.63888888888888884</v>
      </c>
      <c r="C9" s="58">
        <f t="shared" si="0"/>
        <v>0.63888888888888884</v>
      </c>
      <c r="D9" s="59"/>
      <c r="O9" s="44" t="s">
        <v>11</v>
      </c>
      <c r="P9" s="73">
        <v>0.87</v>
      </c>
      <c r="Q9" s="73">
        <v>0.88</v>
      </c>
      <c r="R9" s="73">
        <v>0.86</v>
      </c>
      <c r="S9" s="73">
        <v>0.86</v>
      </c>
    </row>
    <row r="10" spans="1:19" ht="18" customHeight="1" x14ac:dyDescent="0.25">
      <c r="A10" s="44" t="s">
        <v>58</v>
      </c>
      <c r="B10" s="57">
        <f>UTPALAA!D181</f>
        <v>0.7142857142857143</v>
      </c>
      <c r="C10" s="58">
        <f t="shared" si="0"/>
        <v>0.7142857142857143</v>
      </c>
      <c r="D10" s="59"/>
      <c r="O10" s="44" t="s">
        <v>58</v>
      </c>
      <c r="P10" s="73">
        <v>0.86</v>
      </c>
      <c r="Q10" s="73">
        <v>0.86</v>
      </c>
      <c r="R10" s="73">
        <v>0.84</v>
      </c>
      <c r="S10" s="73">
        <v>0.87</v>
      </c>
    </row>
    <row r="11" spans="1:19" ht="18" customHeight="1" x14ac:dyDescent="0.25">
      <c r="A11" s="44" t="s">
        <v>61</v>
      </c>
      <c r="B11" s="57">
        <f>UTPALAA!D182</f>
        <v>0.52272727272727271</v>
      </c>
      <c r="C11" s="58">
        <f t="shared" si="0"/>
        <v>0.52272727272727271</v>
      </c>
      <c r="D11" s="59"/>
      <c r="O11" s="44" t="s">
        <v>61</v>
      </c>
      <c r="P11" s="73">
        <v>0.84</v>
      </c>
      <c r="Q11" s="73">
        <v>0.85</v>
      </c>
      <c r="R11" s="73">
        <v>0.83</v>
      </c>
      <c r="S11" s="73">
        <v>0.84</v>
      </c>
    </row>
    <row r="12" spans="1:19" ht="18" customHeight="1" x14ac:dyDescent="0.25">
      <c r="A12" s="44" t="s">
        <v>12</v>
      </c>
      <c r="B12" s="57">
        <f>UTPALAA!D183</f>
        <v>0.65625</v>
      </c>
      <c r="C12" s="58">
        <f t="shared" si="0"/>
        <v>0.65625</v>
      </c>
      <c r="D12" s="59"/>
      <c r="O12" s="44" t="s">
        <v>12</v>
      </c>
      <c r="P12" s="73">
        <v>0.88</v>
      </c>
      <c r="Q12" s="73">
        <v>0.89</v>
      </c>
      <c r="R12" s="73">
        <v>0.87</v>
      </c>
      <c r="S12" s="73">
        <v>0.85</v>
      </c>
    </row>
    <row r="13" spans="1:19" ht="18" customHeight="1" x14ac:dyDescent="0.25">
      <c r="A13" s="44" t="s">
        <v>13</v>
      </c>
      <c r="B13" s="57">
        <f>UTPALAA!D184</f>
        <v>0.83333333333333337</v>
      </c>
      <c r="C13" s="58">
        <f t="shared" si="0"/>
        <v>0.83333333333333337</v>
      </c>
      <c r="D13" s="59"/>
      <c r="O13" s="44" t="s">
        <v>13</v>
      </c>
      <c r="P13" s="73">
        <v>0.89</v>
      </c>
      <c r="Q13" s="73">
        <v>0.86</v>
      </c>
      <c r="R13" s="73">
        <v>0.8</v>
      </c>
      <c r="S13" s="73">
        <v>0.89</v>
      </c>
    </row>
    <row r="14" spans="1:19" ht="18" customHeight="1" x14ac:dyDescent="0.25">
      <c r="A14" s="44" t="s">
        <v>52</v>
      </c>
      <c r="B14" s="57">
        <f>UTPALAA!D185</f>
        <v>0.9642857142857143</v>
      </c>
      <c r="C14" s="58">
        <f t="shared" si="0"/>
        <v>0.9642857142857143</v>
      </c>
      <c r="D14" s="59"/>
      <c r="O14" s="44" t="s">
        <v>52</v>
      </c>
      <c r="P14" s="73">
        <v>0.89</v>
      </c>
      <c r="Q14" s="73">
        <v>0.88</v>
      </c>
      <c r="R14" s="73">
        <v>0.93</v>
      </c>
      <c r="S14" s="73">
        <v>0.89</v>
      </c>
    </row>
    <row r="15" spans="1:19" ht="18" customHeight="1" x14ac:dyDescent="0.25">
      <c r="A15" s="44" t="s">
        <v>14</v>
      </c>
      <c r="B15" s="57">
        <f>UTPALAA!D186</f>
        <v>0.5</v>
      </c>
      <c r="C15" s="58">
        <f t="shared" si="0"/>
        <v>0.5</v>
      </c>
      <c r="D15" s="59"/>
      <c r="O15" s="44" t="s">
        <v>14</v>
      </c>
      <c r="P15" s="73">
        <v>0.88</v>
      </c>
      <c r="Q15" s="73">
        <v>0.88</v>
      </c>
      <c r="R15" s="73">
        <v>0.83</v>
      </c>
      <c r="S15" s="73">
        <v>0.85</v>
      </c>
    </row>
    <row r="16" spans="1:19" ht="18" customHeight="1" x14ac:dyDescent="0.25">
      <c r="A16" s="44" t="s">
        <v>18</v>
      </c>
      <c r="B16" s="57" t="str">
        <f>UTPALAA!D187</f>
        <v>NA</v>
      </c>
      <c r="C16" s="58" t="e">
        <f t="shared" si="0"/>
        <v>#DIV/0!</v>
      </c>
      <c r="D16" s="59"/>
      <c r="O16" s="44" t="s">
        <v>18</v>
      </c>
      <c r="P16" s="73">
        <v>0</v>
      </c>
      <c r="Q16" s="73">
        <v>0</v>
      </c>
      <c r="R16" s="73">
        <v>0</v>
      </c>
      <c r="S16" s="73">
        <v>0.75</v>
      </c>
    </row>
    <row r="17" spans="1:19" ht="18" customHeight="1" x14ac:dyDescent="0.25">
      <c r="A17" s="44" t="s">
        <v>68</v>
      </c>
      <c r="B17" s="57">
        <f>UTPALAA!D188</f>
        <v>0.72</v>
      </c>
      <c r="C17" s="58">
        <f t="shared" si="0"/>
        <v>0.72</v>
      </c>
      <c r="D17" s="59"/>
      <c r="O17" s="44" t="s">
        <v>68</v>
      </c>
      <c r="P17" s="73">
        <v>0.91</v>
      </c>
      <c r="Q17" s="73">
        <v>1</v>
      </c>
      <c r="R17" s="73">
        <v>0.92</v>
      </c>
      <c r="S17" s="73">
        <v>0.7</v>
      </c>
    </row>
    <row r="18" spans="1:19" ht="18" customHeight="1" x14ac:dyDescent="0.25">
      <c r="A18" s="44" t="s">
        <v>51</v>
      </c>
      <c r="B18" s="57">
        <f>UTPALAA!D189</f>
        <v>0.875</v>
      </c>
      <c r="C18" s="58">
        <f>AVERAGE(B18)</f>
        <v>0.875</v>
      </c>
      <c r="D18" s="59"/>
      <c r="O18" s="44" t="s">
        <v>51</v>
      </c>
      <c r="P18" s="73">
        <v>0.84</v>
      </c>
      <c r="Q18" s="73">
        <v>0.91</v>
      </c>
      <c r="R18" s="73">
        <v>0.91</v>
      </c>
      <c r="S18" s="73">
        <v>0.88</v>
      </c>
    </row>
    <row r="19" spans="1:19" ht="15" customHeight="1" x14ac:dyDescent="0.25">
      <c r="B19" s="58">
        <f t="shared" ref="B19" si="1">AVERAGE(B5:B18)</f>
        <v>0.67501649494296545</v>
      </c>
      <c r="C19" s="58">
        <f>AVERAGE(B19)</f>
        <v>0.67501649494296545</v>
      </c>
    </row>
    <row r="20" spans="1:19" ht="21.95" customHeight="1" x14ac:dyDescent="0.25">
      <c r="B20" s="79">
        <f>UTPALAA!C171</f>
        <v>0.67030360531309297</v>
      </c>
      <c r="C20" s="78">
        <f>AVERAGE(B20:B20)</f>
        <v>0.67030360531309297</v>
      </c>
      <c r="P20" s="76"/>
      <c r="Q20" s="76"/>
      <c r="R20" s="76"/>
      <c r="S20" s="76"/>
    </row>
    <row r="21" spans="1:19" ht="15.75" x14ac:dyDescent="0.25">
      <c r="P21" s="77"/>
      <c r="Q21" s="77"/>
      <c r="R21" s="77"/>
      <c r="S21" s="77"/>
    </row>
    <row r="22" spans="1:19" ht="15.75" x14ac:dyDescent="0.25">
      <c r="B22" s="86"/>
      <c r="C22" s="70"/>
      <c r="D22" s="70"/>
      <c r="E22" s="70"/>
      <c r="F22" s="70"/>
      <c r="G22" s="69"/>
      <c r="H22" s="70"/>
      <c r="J22" s="70"/>
      <c r="K22" s="70"/>
      <c r="L22" s="69"/>
      <c r="M22" s="70"/>
      <c r="N22" s="70"/>
      <c r="O22" s="70"/>
      <c r="P22" s="77"/>
      <c r="Q22" s="77"/>
      <c r="R22" s="77"/>
      <c r="S22" s="77"/>
    </row>
    <row r="23" spans="1:19" ht="15.75" x14ac:dyDescent="0.25">
      <c r="B23" s="59"/>
      <c r="C23" s="71"/>
      <c r="D23" s="59"/>
      <c r="E23" s="59"/>
      <c r="F23" s="59"/>
      <c r="G23" s="59"/>
      <c r="H23" s="59"/>
      <c r="I23" s="71"/>
      <c r="J23" s="59"/>
      <c r="K23" s="59"/>
      <c r="L23" s="59"/>
      <c r="M23" s="59"/>
      <c r="N23" s="59"/>
      <c r="O23" s="59"/>
      <c r="P23" s="77"/>
      <c r="Q23" s="77"/>
      <c r="R23" s="77"/>
      <c r="S23" s="77"/>
    </row>
    <row r="24" spans="1:19" ht="15.75" x14ac:dyDescent="0.25">
      <c r="B24" s="59"/>
      <c r="C24" s="71"/>
      <c r="D24" s="59"/>
      <c r="E24" s="59"/>
      <c r="F24" s="59"/>
      <c r="G24" s="59"/>
      <c r="H24" s="59"/>
      <c r="I24" s="71"/>
      <c r="J24" s="59"/>
      <c r="K24" s="59"/>
      <c r="L24" s="59"/>
      <c r="M24" s="59"/>
      <c r="N24" s="59"/>
      <c r="O24" s="59"/>
      <c r="P24" s="77"/>
      <c r="Q24" s="77"/>
      <c r="R24" s="77"/>
      <c r="S24" s="77"/>
    </row>
    <row r="25" spans="1:19" ht="15.75" x14ac:dyDescent="0.25">
      <c r="B25" s="59"/>
      <c r="C25" s="71"/>
      <c r="D25" s="59"/>
      <c r="E25" s="59"/>
      <c r="F25" s="59"/>
      <c r="G25" s="59"/>
      <c r="H25" s="59"/>
      <c r="I25" s="71"/>
      <c r="J25" s="59"/>
      <c r="K25" s="59"/>
      <c r="L25" s="59"/>
      <c r="M25" s="59"/>
      <c r="N25" s="59"/>
      <c r="O25" s="59"/>
      <c r="P25" s="77"/>
      <c r="Q25" s="77"/>
      <c r="R25" s="77"/>
      <c r="S25" s="77"/>
    </row>
    <row r="26" spans="1:19" ht="15.75" x14ac:dyDescent="0.25">
      <c r="B26" s="59"/>
      <c r="C26" s="71"/>
      <c r="D26" s="59"/>
      <c r="E26" s="59"/>
      <c r="F26" s="59"/>
      <c r="G26" s="59"/>
      <c r="H26" s="59"/>
      <c r="I26" s="71"/>
      <c r="J26" s="59"/>
      <c r="K26" s="59"/>
      <c r="L26" s="59"/>
      <c r="M26" s="59"/>
      <c r="N26" s="59"/>
      <c r="O26" s="59"/>
      <c r="P26" s="77"/>
      <c r="Q26" s="77"/>
      <c r="R26" s="77"/>
      <c r="S26" s="77"/>
    </row>
    <row r="27" spans="1:19" ht="15.75" x14ac:dyDescent="0.25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7"/>
      <c r="Q27" s="77"/>
      <c r="R27" s="77"/>
      <c r="S27" s="77"/>
    </row>
    <row r="28" spans="1:19" ht="15.75" x14ac:dyDescent="0.25">
      <c r="P28" s="77"/>
      <c r="Q28" s="77"/>
      <c r="R28" s="77"/>
      <c r="S28" s="77"/>
    </row>
    <row r="29" spans="1:19" ht="15.75" x14ac:dyDescent="0.25">
      <c r="P29" s="77"/>
      <c r="Q29" s="77"/>
      <c r="R29" s="77"/>
      <c r="S29" s="77"/>
    </row>
    <row r="30" spans="1:19" ht="15.75" x14ac:dyDescent="0.25">
      <c r="P30" s="77"/>
      <c r="Q30" s="77"/>
      <c r="R30" s="77"/>
      <c r="S30" s="77"/>
    </row>
    <row r="31" spans="1:19" ht="15.75" x14ac:dyDescent="0.25">
      <c r="P31" s="77"/>
      <c r="Q31" s="77"/>
      <c r="R31" s="77"/>
      <c r="S31" s="77"/>
    </row>
    <row r="32" spans="1:19" ht="15.75" x14ac:dyDescent="0.25">
      <c r="P32" s="77"/>
      <c r="Q32" s="77"/>
      <c r="R32" s="77"/>
      <c r="S32" s="77"/>
    </row>
    <row r="33" spans="16:19" ht="15.75" x14ac:dyDescent="0.25">
      <c r="P33" s="77"/>
      <c r="Q33" s="77"/>
      <c r="R33" s="77"/>
      <c r="S33" s="77"/>
    </row>
    <row r="34" spans="16:19" ht="15.75" x14ac:dyDescent="0.25">
      <c r="P34" s="77"/>
      <c r="Q34" s="77"/>
      <c r="R34" s="77"/>
      <c r="S34" s="77"/>
    </row>
    <row r="88" spans="1:2" ht="18.75" x14ac:dyDescent="0.25">
      <c r="A88" s="88"/>
      <c r="B88" s="87"/>
    </row>
    <row r="89" spans="1:2" ht="15.6" customHeight="1" x14ac:dyDescent="0.25">
      <c r="A89" s="88"/>
      <c r="B89" s="77"/>
    </row>
    <row r="90" spans="1:2" x14ac:dyDescent="0.25">
      <c r="A90" s="74"/>
      <c r="B90" s="75"/>
    </row>
    <row r="91" spans="1:2" x14ac:dyDescent="0.25">
      <c r="A91" s="74"/>
      <c r="B91" s="75"/>
    </row>
    <row r="92" spans="1:2" x14ac:dyDescent="0.25">
      <c r="A92" s="74"/>
      <c r="B92" s="75"/>
    </row>
    <row r="93" spans="1:2" x14ac:dyDescent="0.25">
      <c r="A93" s="74"/>
      <c r="B93" s="75"/>
    </row>
    <row r="177" spans="1:1" ht="15.75" x14ac:dyDescent="0.25">
      <c r="A177" s="84"/>
    </row>
    <row r="178" spans="1:1" ht="15.75" x14ac:dyDescent="0.25">
      <c r="A178" s="84"/>
    </row>
    <row r="179" spans="1:1" ht="15.75" x14ac:dyDescent="0.25">
      <c r="A179" s="85"/>
    </row>
    <row r="180" spans="1:1" ht="15.75" x14ac:dyDescent="0.25">
      <c r="A180" s="85"/>
    </row>
    <row r="181" spans="1:1" ht="15.75" x14ac:dyDescent="0.25">
      <c r="A181" s="85"/>
    </row>
    <row r="182" spans="1:1" ht="15.75" x14ac:dyDescent="0.25">
      <c r="A182" s="85"/>
    </row>
    <row r="183" spans="1:1" ht="15.75" x14ac:dyDescent="0.25">
      <c r="A183" s="85"/>
    </row>
    <row r="184" spans="1:1" ht="15.75" x14ac:dyDescent="0.25">
      <c r="A184" s="85"/>
    </row>
    <row r="185" spans="1:1" ht="15.75" x14ac:dyDescent="0.25">
      <c r="A185" s="85"/>
    </row>
    <row r="186" spans="1:1" ht="15.75" x14ac:dyDescent="0.25">
      <c r="A186" s="85"/>
    </row>
    <row r="187" spans="1:1" ht="15.75" x14ac:dyDescent="0.25">
      <c r="A187" s="85"/>
    </row>
    <row r="188" spans="1:1" ht="15.75" x14ac:dyDescent="0.25">
      <c r="A188" s="85"/>
    </row>
    <row r="189" spans="1:1" ht="15.75" x14ac:dyDescent="0.25">
      <c r="A189" s="85"/>
    </row>
    <row r="190" spans="1:1" ht="15.75" x14ac:dyDescent="0.25">
      <c r="A190" s="85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UTPALAA</vt:lpstr>
      <vt:lpstr>Graphs </vt:lpstr>
      <vt:lpstr>UTPALAA!Print_Area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2026-03-04T06:16:55Z</dcterms:modified>
</cp:coreProperties>
</file>